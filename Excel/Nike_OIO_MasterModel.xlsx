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4e85ec2e9846283/Pictures/Desktop/NIKE Project/Excel/"/>
    </mc:Choice>
  </mc:AlternateContent>
  <xr:revisionPtr revIDLastSave="2" documentId="8_{D77FEA1E-9EBA-4DAF-8BB3-EA1B154CB543}" xr6:coauthVersionLast="47" xr6:coauthVersionMax="47" xr10:uidLastSave="{BF90526A-52AB-4247-AA3C-CBC28CA17ED4}"/>
  <bookViews>
    <workbookView xWindow="-108" yWindow="-108" windowWidth="23256" windowHeight="12456" xr2:uid="{00000000-000D-0000-FFFF-FFFF00000000}"/>
  </bookViews>
  <sheets>
    <sheet name="RAW_Financial" sheetId="1" r:id="rId1"/>
    <sheet name="RAW_Channel" sheetId="3" r:id="rId2"/>
    <sheet name="RAW_ProductMarket" sheetId="4" r:id="rId3"/>
    <sheet name="RAW_Stock_Events" sheetId="5" r:id="rId4"/>
    <sheet name="CALC_ChannelModel" sheetId="7" r:id="rId5"/>
    <sheet name="CALC_CustomerCLV" sheetId="8" r:id="rId6"/>
    <sheet name="CALC_MarketReaction" sheetId="9" r:id="rId7"/>
    <sheet name="DASHBOARD_Summary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0" l="1"/>
  <c r="C17" i="10"/>
  <c r="C16" i="10"/>
  <c r="C15" i="10"/>
  <c r="C14" i="10"/>
  <c r="B24" i="9"/>
  <c r="B23" i="9"/>
  <c r="B22" i="9"/>
  <c r="B21" i="9"/>
  <c r="B20" i="9"/>
  <c r="B19" i="9"/>
  <c r="B18" i="9"/>
  <c r="B17" i="9"/>
  <c r="B16" i="9"/>
  <c r="N3" i="9"/>
  <c r="N4" i="9"/>
  <c r="N5" i="9"/>
  <c r="N6" i="9"/>
  <c r="N7" i="9"/>
  <c r="N8" i="9"/>
  <c r="N9" i="9"/>
  <c r="N10" i="9"/>
  <c r="N11" i="9"/>
  <c r="N12" i="9"/>
  <c r="N2" i="9"/>
  <c r="M4" i="9"/>
  <c r="M5" i="9"/>
  <c r="M6" i="9"/>
  <c r="M7" i="9" s="1"/>
  <c r="M8" i="9" s="1"/>
  <c r="M9" i="9" s="1"/>
  <c r="M10" i="9" s="1"/>
  <c r="M11" i="9" s="1"/>
  <c r="M12" i="9" s="1"/>
  <c r="M3" i="9"/>
  <c r="M2" i="9"/>
  <c r="L3" i="9"/>
  <c r="L4" i="9"/>
  <c r="L5" i="9"/>
  <c r="L6" i="9"/>
  <c r="L7" i="9"/>
  <c r="L8" i="9"/>
  <c r="L9" i="9"/>
  <c r="L10" i="9"/>
  <c r="L11" i="9"/>
  <c r="L12" i="9"/>
  <c r="L2" i="9"/>
  <c r="A3" i="9"/>
  <c r="A4" i="9"/>
  <c r="A5" i="9"/>
  <c r="A6" i="9"/>
  <c r="A7" i="9"/>
  <c r="A8" i="9"/>
  <c r="A9" i="9"/>
  <c r="A10" i="9"/>
  <c r="A11" i="9"/>
  <c r="A12" i="9"/>
  <c r="A2" i="9"/>
  <c r="B3" i="9"/>
  <c r="B4" i="9"/>
  <c r="B5" i="9"/>
  <c r="B6" i="9"/>
  <c r="B7" i="9"/>
  <c r="B8" i="9"/>
  <c r="B9" i="9"/>
  <c r="B10" i="9"/>
  <c r="B11" i="9"/>
  <c r="B12" i="9"/>
  <c r="B2" i="9"/>
  <c r="C3" i="9"/>
  <c r="C4" i="9"/>
  <c r="C5" i="9"/>
  <c r="C6" i="9"/>
  <c r="C7" i="9"/>
  <c r="C8" i="9"/>
  <c r="C9" i="9"/>
  <c r="C10" i="9"/>
  <c r="C11" i="9"/>
  <c r="C12" i="9"/>
  <c r="C2" i="9"/>
  <c r="D3" i="9"/>
  <c r="D4" i="9"/>
  <c r="D5" i="9"/>
  <c r="D6" i="9"/>
  <c r="D7" i="9"/>
  <c r="D8" i="9"/>
  <c r="D9" i="9"/>
  <c r="D10" i="9"/>
  <c r="D11" i="9"/>
  <c r="D12" i="9"/>
  <c r="D2" i="9"/>
  <c r="F12" i="9"/>
  <c r="E12" i="9"/>
  <c r="E3" i="9"/>
  <c r="E4" i="9"/>
  <c r="E5" i="9"/>
  <c r="E6" i="9"/>
  <c r="E7" i="9"/>
  <c r="E8" i="9"/>
  <c r="E9" i="9"/>
  <c r="E10" i="9"/>
  <c r="E11" i="9"/>
  <c r="E2" i="9"/>
  <c r="F3" i="9"/>
  <c r="F4" i="9"/>
  <c r="F5" i="9"/>
  <c r="F6" i="9"/>
  <c r="F7" i="9"/>
  <c r="F8" i="9"/>
  <c r="F9" i="9"/>
  <c r="F10" i="9"/>
  <c r="F11" i="9"/>
  <c r="F2" i="9"/>
  <c r="G3" i="9"/>
  <c r="G4" i="9"/>
  <c r="G5" i="9"/>
  <c r="G6" i="9"/>
  <c r="G7" i="9"/>
  <c r="G8" i="9"/>
  <c r="G9" i="9"/>
  <c r="G10" i="9"/>
  <c r="G11" i="9"/>
  <c r="G12" i="9"/>
  <c r="G2" i="9"/>
  <c r="H3" i="9"/>
  <c r="H4" i="9"/>
  <c r="H5" i="9"/>
  <c r="H6" i="9"/>
  <c r="H7" i="9"/>
  <c r="H8" i="9"/>
  <c r="H9" i="9"/>
  <c r="H10" i="9"/>
  <c r="H11" i="9"/>
  <c r="H12" i="9"/>
  <c r="H2" i="9"/>
  <c r="I3" i="9"/>
  <c r="I4" i="9"/>
  <c r="I5" i="9"/>
  <c r="I6" i="9"/>
  <c r="I7" i="9"/>
  <c r="I8" i="9"/>
  <c r="I9" i="9"/>
  <c r="I10" i="9"/>
  <c r="I11" i="9"/>
  <c r="I12" i="9"/>
  <c r="I2" i="9"/>
  <c r="J3" i="9"/>
  <c r="J4" i="9"/>
  <c r="J5" i="9"/>
  <c r="J6" i="9"/>
  <c r="J7" i="9"/>
  <c r="J8" i="9"/>
  <c r="J9" i="9"/>
  <c r="J10" i="9"/>
  <c r="J11" i="9"/>
  <c r="J12" i="9"/>
  <c r="J2" i="9"/>
  <c r="K3" i="9"/>
  <c r="K4" i="9"/>
  <c r="K5" i="9"/>
  <c r="K6" i="9"/>
  <c r="K7" i="9"/>
  <c r="K8" i="9"/>
  <c r="K9" i="9"/>
  <c r="K10" i="9"/>
  <c r="K11" i="9"/>
  <c r="K12" i="9"/>
  <c r="K2" i="9"/>
  <c r="G2" i="8" a="1"/>
  <c r="G2" i="8" s="1"/>
  <c r="P5" i="8"/>
  <c r="P7" i="8"/>
  <c r="L3" i="8"/>
  <c r="K5" i="8"/>
  <c r="K6" i="8"/>
  <c r="K7" i="8"/>
  <c r="A2" i="8" a="1"/>
  <c r="A2" i="8" s="1"/>
  <c r="J2" i="8" a="1"/>
  <c r="J2" i="8" s="1"/>
  <c r="I2" i="8" a="1"/>
  <c r="I2" i="8" s="1"/>
  <c r="H2" i="8" a="1"/>
  <c r="H2" i="8" s="1"/>
  <c r="K2" i="8" s="1"/>
  <c r="F2" i="8" a="1"/>
  <c r="F2" i="8" s="1"/>
  <c r="E2" i="8" a="1"/>
  <c r="E2" i="8" s="1"/>
  <c r="D2" i="8" a="1"/>
  <c r="D2" i="8" s="1"/>
  <c r="C2" i="8" a="1"/>
  <c r="C2" i="8" s="1"/>
  <c r="B2" i="8" a="1"/>
  <c r="B2" i="8" s="1"/>
  <c r="H17" i="7"/>
  <c r="H18" i="7"/>
  <c r="H19" i="7"/>
  <c r="H20" i="7"/>
  <c r="H21" i="7"/>
  <c r="H22" i="7"/>
  <c r="H23" i="7"/>
  <c r="H24" i="7"/>
  <c r="H25" i="7"/>
  <c r="H26" i="7"/>
  <c r="H16" i="7"/>
  <c r="O3" i="7"/>
  <c r="O2" i="7"/>
  <c r="N2" i="7"/>
  <c r="N5" i="7"/>
  <c r="N4" i="7"/>
  <c r="N3" i="7"/>
  <c r="M7" i="7"/>
  <c r="M8" i="7"/>
  <c r="M2" i="7"/>
  <c r="H4" i="7"/>
  <c r="H5" i="7"/>
  <c r="H8" i="7"/>
  <c r="H9" i="7"/>
  <c r="H10" i="7"/>
  <c r="H2" i="7"/>
  <c r="G5" i="7"/>
  <c r="G6" i="7"/>
  <c r="G7" i="7"/>
  <c r="G10" i="7"/>
  <c r="G11" i="7"/>
  <c r="G3" i="7"/>
  <c r="G2" i="7"/>
  <c r="L2" i="7" a="1"/>
  <c r="L2" i="7" s="1"/>
  <c r="K2" i="7" a="1"/>
  <c r="K2" i="7" s="1"/>
  <c r="J2" i="7" a="1"/>
  <c r="J2" i="7" s="1"/>
  <c r="I2" i="7" a="1"/>
  <c r="I2" i="7" s="1"/>
  <c r="F2" i="7" a="1"/>
  <c r="F2" i="7" s="1"/>
  <c r="E2" i="7" a="1"/>
  <c r="E2" i="7" s="1"/>
  <c r="D2" i="7" a="1"/>
  <c r="D2" i="7" s="1"/>
  <c r="C2" i="7" a="1"/>
  <c r="C2" i="7" s="1"/>
  <c r="B2" i="7" a="1"/>
  <c r="B2" i="7" s="1"/>
  <c r="A2" i="7" a="1"/>
  <c r="A2" i="7" s="1"/>
  <c r="B23" i="8" l="1"/>
  <c r="B22" i="8"/>
  <c r="P2" i="8"/>
  <c r="M7" i="8" s="1"/>
  <c r="B28" i="8"/>
  <c r="B27" i="8"/>
  <c r="B25" i="8"/>
  <c r="B16" i="8"/>
  <c r="D18" i="8"/>
  <c r="C16" i="8"/>
  <c r="E18" i="8"/>
  <c r="F15" i="8"/>
  <c r="D16" i="8"/>
  <c r="F18" i="8"/>
  <c r="E16" i="8"/>
  <c r="C14" i="8"/>
  <c r="B18" i="8"/>
  <c r="B17" i="8"/>
  <c r="E14" i="8"/>
  <c r="F16" i="8"/>
  <c r="D14" i="8"/>
  <c r="C17" i="8"/>
  <c r="F14" i="8"/>
  <c r="E15" i="8"/>
  <c r="B15" i="8"/>
  <c r="D17" i="8"/>
  <c r="B14" i="8"/>
  <c r="C18" i="8"/>
  <c r="C15" i="8"/>
  <c r="E17" i="8"/>
  <c r="D15" i="8"/>
  <c r="F17" i="8"/>
  <c r="K4" i="8"/>
  <c r="P3" i="8"/>
  <c r="L2" i="8"/>
  <c r="P4" i="8"/>
  <c r="K3" i="8"/>
  <c r="L7" i="8"/>
  <c r="P6" i="8"/>
  <c r="L6" i="8"/>
  <c r="M6" i="8"/>
  <c r="L5" i="8"/>
  <c r="L4" i="8"/>
  <c r="N7" i="7"/>
  <c r="N6" i="7"/>
  <c r="M6" i="7"/>
  <c r="G9" i="7"/>
  <c r="H7" i="7"/>
  <c r="M5" i="7"/>
  <c r="G8" i="7"/>
  <c r="H6" i="7"/>
  <c r="M4" i="7"/>
  <c r="O5" i="7"/>
  <c r="O11" i="7"/>
  <c r="O10" i="7"/>
  <c r="G4" i="7"/>
  <c r="M3" i="7"/>
  <c r="N11" i="7"/>
  <c r="O9" i="7"/>
  <c r="O8" i="7"/>
  <c r="H3" i="7"/>
  <c r="M10" i="7"/>
  <c r="N9" i="7"/>
  <c r="O7" i="7"/>
  <c r="M11" i="7"/>
  <c r="N10" i="7"/>
  <c r="H11" i="7"/>
  <c r="M9" i="7"/>
  <c r="N8" i="7"/>
  <c r="O6" i="7"/>
  <c r="M4" i="8" l="1"/>
  <c r="M2" i="8"/>
  <c r="M5" i="8"/>
  <c r="B29" i="8"/>
  <c r="M3" i="8"/>
  <c r="B24" i="8"/>
  <c r="B26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<sst xmlns="http://schemas.openxmlformats.org/spreadsheetml/2006/main" count="335" uniqueCount="233">
  <si>
    <t>Fiscal_Year</t>
  </si>
  <si>
    <t>Period_End</t>
  </si>
  <si>
    <t>Total_Revenue_M</t>
  </si>
  <si>
    <t>COGS_M</t>
  </si>
  <si>
    <t>Gross_Profit_M</t>
  </si>
  <si>
    <t>Gross_Margin_Pct</t>
  </si>
  <si>
    <t>Operating_Income_M</t>
  </si>
  <si>
    <t>Operating_Margin_Pct</t>
  </si>
  <si>
    <t>Net_Income_M</t>
  </si>
  <si>
    <t>Net_Margin_Pct</t>
  </si>
  <si>
    <t>SGA_Expenses_M</t>
  </si>
  <si>
    <t>SGA_Pct_Revenue</t>
  </si>
  <si>
    <t>Total_Nike_Brand_Revenue_M</t>
  </si>
  <si>
    <t>Nike_Direct_Revenue_M</t>
  </si>
  <si>
    <t>Wholesale_Revenue_M</t>
  </si>
  <si>
    <t>Digital_Revenue_M</t>
  </si>
  <si>
    <t>Nike_Direct_Share_Pct</t>
  </si>
  <si>
    <t>Wholesale_Share_Pct</t>
  </si>
  <si>
    <t>CDO_Phase</t>
  </si>
  <si>
    <t>Key_Event</t>
  </si>
  <si>
    <t>Pre-CDO</t>
  </si>
  <si>
    <t>DTC growing organically</t>
  </si>
  <si>
    <t>CDO concept forming internally</t>
  </si>
  <si>
    <t>CDO Launch</t>
  </si>
  <si>
    <t>Consumer Direct Offense announced June 2017</t>
  </si>
  <si>
    <t>CDO Acceleration</t>
  </si>
  <si>
    <t>Major wholesale partner cuts begin</t>
  </si>
  <si>
    <t>Partnership with Amazon; further retailer cuts</t>
  </si>
  <si>
    <t>CDO + COVID</t>
  </si>
  <si>
    <t>COVID accelerates digital; stores closed</t>
  </si>
  <si>
    <t>CDA Launch</t>
  </si>
  <si>
    <t>Consumer Direct Acceleration replaces CDO</t>
  </si>
  <si>
    <t>CDA Peak</t>
  </si>
  <si>
    <t>50000+ wholesale accounts cut; inventory crisis begins</t>
  </si>
  <si>
    <t>Crisis</t>
  </si>
  <si>
    <t>Inventory glut; heavy discounting; Hoka/On surging</t>
  </si>
  <si>
    <t>Reckoning</t>
  </si>
  <si>
    <t>CEO Donahoe out; wholesale return strategy begins</t>
  </si>
  <si>
    <t>Year</t>
  </si>
  <si>
    <t>Nike_Athletic_Footwear_Share_Pct</t>
  </si>
  <si>
    <t>Adidas_Share_Pct</t>
  </si>
  <si>
    <t>Hoka_Share_Pct</t>
  </si>
  <si>
    <t>On_Running_Share_Pct</t>
  </si>
  <si>
    <t>New_Balance_Share_Pct</t>
  </si>
  <si>
    <t>Under_Armour_Share_Pct</t>
  </si>
  <si>
    <t>Nike_D2C_Pct</t>
  </si>
  <si>
    <t>Adidas_D2C_Pct</t>
  </si>
  <si>
    <t>Nike_Digital_Revenue_M</t>
  </si>
  <si>
    <t>Adidas_Digital_Revenue_M</t>
  </si>
  <si>
    <t>CLV MODEL DATA</t>
  </si>
  <si>
    <t>Channel</t>
  </si>
  <si>
    <t>Avg_Order_Value_USD</t>
  </si>
  <si>
    <t>Purchase_Frequency_Per_Year</t>
  </si>
  <si>
    <t>Avg_Customer_Lifespan_Years</t>
  </si>
  <si>
    <t>Est_Gross_Margin_Pct</t>
  </si>
  <si>
    <t>Customer_Acquisition_Cost_USD</t>
  </si>
  <si>
    <t>Estimated_CLV_USD</t>
  </si>
  <si>
    <t>LTV_CAC_Ratio</t>
  </si>
  <si>
    <t>Retention_Rate_Pct</t>
  </si>
  <si>
    <t>Segment_Type</t>
  </si>
  <si>
    <t>Nike Direct - Digital</t>
  </si>
  <si>
    <t>D2C</t>
  </si>
  <si>
    <t>Nike Direct - Owned Stores</t>
  </si>
  <si>
    <t>Nike SNKRS App Sneakerhead</t>
  </si>
  <si>
    <t>D2C Premium</t>
  </si>
  <si>
    <t>Wholesale - Foot Locker</t>
  </si>
  <si>
    <t>Wholesale</t>
  </si>
  <si>
    <t>Wholesale - Sporting Goods</t>
  </si>
  <si>
    <t>Wholesale - Department Store</t>
  </si>
  <si>
    <t>Event_ID</t>
  </si>
  <si>
    <t>Event_Date</t>
  </si>
  <si>
    <t>Event_Name</t>
  </si>
  <si>
    <t>Event_Category</t>
  </si>
  <si>
    <t>Decision_Type</t>
  </si>
  <si>
    <t>NKE_Price_On_Event</t>
  </si>
  <si>
    <t>NKE_Price_30d_After</t>
  </si>
  <si>
    <t>NKE_Price_90d_After</t>
  </si>
  <si>
    <t>Return_30d_Pct</t>
  </si>
  <si>
    <t>Return_90d_Pct</t>
  </si>
  <si>
    <t>Market_Verdict</t>
  </si>
  <si>
    <t>Consumer Direct Offense Announced</t>
  </si>
  <si>
    <t>Strategy</t>
  </si>
  <si>
    <t>Offensive</t>
  </si>
  <si>
    <t>Positive</t>
  </si>
  <si>
    <t>Partnership with Amazon Confirmed</t>
  </si>
  <si>
    <t>Partnership</t>
  </si>
  <si>
    <t>Mark Parker Steps Down - Donahoe Named CEO</t>
  </si>
  <si>
    <t>Leadership</t>
  </si>
  <si>
    <t>Transition</t>
  </si>
  <si>
    <t>Neutral</t>
  </si>
  <si>
    <t>Consumer Direct Acceleration Announced</t>
  </si>
  <si>
    <t>Acceleration</t>
  </si>
  <si>
    <t>NKE Stock Peak ~$177</t>
  </si>
  <si>
    <t>Market</t>
  </si>
  <si>
    <t>Peak</t>
  </si>
  <si>
    <t>N/A - Peak</t>
  </si>
  <si>
    <t>Inventory Crisis Disclosed in Earnings</t>
  </si>
  <si>
    <t>Warning</t>
  </si>
  <si>
    <t>Negative</t>
  </si>
  <si>
    <t>Q2 FY2023 Earnings - Inventory Glut Confirmed</t>
  </si>
  <si>
    <t>Earnings</t>
  </si>
  <si>
    <t>Mixed</t>
  </si>
  <si>
    <t>Foot Locker CEO Announces Renewed Nike Partnership</t>
  </si>
  <si>
    <t>Recovery</t>
  </si>
  <si>
    <t>FY2024 Earnings - Revenue Growth Stalls</t>
  </si>
  <si>
    <t>Donahoe Replaced by Elliott Hill as CEO</t>
  </si>
  <si>
    <t>Elliott Management Takes Activist Stake</t>
  </si>
  <si>
    <t>Investor</t>
  </si>
  <si>
    <t>External</t>
  </si>
  <si>
    <t>QUARTERLY DETAIL DATA</t>
  </si>
  <si>
    <t>Quarter</t>
  </si>
  <si>
    <t>Revenue_M</t>
  </si>
  <si>
    <t>Inventory_M</t>
  </si>
  <si>
    <t>Q1</t>
  </si>
  <si>
    <t>Q2</t>
  </si>
  <si>
    <t>Q3</t>
  </si>
  <si>
    <t>Q4</t>
  </si>
  <si>
    <t>Column1</t>
  </si>
  <si>
    <t>Column2</t>
  </si>
  <si>
    <t>Column3</t>
  </si>
  <si>
    <t>Column4</t>
  </si>
  <si>
    <t>Actual_Revenue_M</t>
  </si>
  <si>
    <t>Actual_Op_Margin_Pct</t>
  </si>
  <si>
    <t>ScenarioA_Balanced_Revenue_M</t>
  </si>
  <si>
    <t>ScenarioA_Op_Margin_Pct</t>
  </si>
  <si>
    <t>ScenarioB_Actual_Revenue_M</t>
  </si>
  <si>
    <t>ScenarioB_Op_Margin_Pct</t>
  </si>
  <si>
    <t>ScenarioC_Recovery_Revenue_M</t>
  </si>
  <si>
    <t>ScenarioC_Op_Margin_Pct</t>
  </si>
  <si>
    <t>Notes</t>
  </si>
  <si>
    <t>Base year - CDO just announced</t>
  </si>
  <si>
    <t>Scenario A: retained more wholesale</t>
  </si>
  <si>
    <t>Scenario A: balanced growth without aggressive cuts</t>
  </si>
  <si>
    <t>COVID impact - Scenario A slightly better</t>
  </si>
  <si>
    <t>Boom year - all scenarios similar</t>
  </si>
  <si>
    <t>Scenario A: no inventory crisis</t>
  </si>
  <si>
    <t>Gap widens in Scenario A</t>
  </si>
  <si>
    <t>$5.6B revenue missed vs Scenario A</t>
  </si>
  <si>
    <t>Actual declining; scenarios project forward</t>
  </si>
  <si>
    <t>Hypothetical projection</t>
  </si>
  <si>
    <t>N/A</t>
  </si>
  <si>
    <t>Full forecast - hypothetical only</t>
  </si>
  <si>
    <t>SCENARIO FORECAST DATA</t>
  </si>
  <si>
    <t>DTC_Revenue_M</t>
  </si>
  <si>
    <t>DTC_Share_Pct</t>
  </si>
  <si>
    <t>DTC_Growth_YoY_Pct</t>
  </si>
  <si>
    <t>Wholesale_Growth_YoY_Pct</t>
  </si>
  <si>
    <t>Strategy_Phase</t>
  </si>
  <si>
    <t>Margin_Change_Bps</t>
  </si>
  <si>
    <t>DTC_Revenue_Indexed</t>
  </si>
  <si>
    <t>Wholesale_Revenue_Indexed</t>
  </si>
  <si>
    <t>Revenue_Gap_vs_ScenarioA_M</t>
  </si>
  <si>
    <t>CLV_Tier</t>
  </si>
  <si>
    <t>CAC_Efficiency_Score</t>
  </si>
  <si>
    <t>Wholesale_vs_DTC_CLV_Gap</t>
  </si>
  <si>
    <t>Avg_DTC_CLV</t>
  </si>
  <si>
    <t>CLV SENSITIVITY ANALYSIS — NIKE DIRECT DIGITAL</t>
  </si>
  <si>
    <t>Frequency -20%</t>
  </si>
  <si>
    <t>Frequency -10%</t>
  </si>
  <si>
    <t>Frequency Base</t>
  </si>
  <si>
    <t>Frequency +10%</t>
  </si>
  <si>
    <t>Frequency +20%</t>
  </si>
  <si>
    <t>AOV -20%</t>
  </si>
  <si>
    <t>AOV -10%</t>
  </si>
  <si>
    <t>AOV Base</t>
  </si>
  <si>
    <t>AOV +10%</t>
  </si>
  <si>
    <t>AOV +20%</t>
  </si>
  <si>
    <t>KEY INSIGHT METRICS</t>
  </si>
  <si>
    <t>Metric</t>
  </si>
  <si>
    <t>Value</t>
  </si>
  <si>
    <t>Highest LTV:CAC Channel</t>
  </si>
  <si>
    <t>Lowest LTV:CAC Channel</t>
  </si>
  <si>
    <t>Avg D2C CLV</t>
  </si>
  <si>
    <t>Avg Wholesale CLV</t>
  </si>
  <si>
    <t>CLV Gap D2C vs Wholesale</t>
  </si>
  <si>
    <t>Avg D2C CAC</t>
  </si>
  <si>
    <t>Avg Wholesale CAC</t>
  </si>
  <si>
    <t>CAC Difference D2C vs Wholesale</t>
  </si>
  <si>
    <t>Price_On_Event</t>
  </si>
  <si>
    <t>Price_30d_After</t>
  </si>
  <si>
    <t>Price_90d_After</t>
  </si>
  <si>
    <t>Verdict_Score</t>
  </si>
  <si>
    <t>Cumulative_Return_30d</t>
  </si>
  <si>
    <t>Event_Impact_Flag</t>
  </si>
  <si>
    <t>MARKET REACTION SUMMARY</t>
  </si>
  <si>
    <t>Total Positive Events</t>
  </si>
  <si>
    <t>Total Negative Events</t>
  </si>
  <si>
    <t>Avg 30d Return All Events</t>
  </si>
  <si>
    <t>Avg 30d Return Positive Decisions</t>
  </si>
  <si>
    <t>Avg 30d Return Negative Decisions</t>
  </si>
  <si>
    <t>Worst Single Event 30d Return</t>
  </si>
  <si>
    <t>Best Single Event 30d Return</t>
  </si>
  <si>
    <t>Cumulative Return Across All Events</t>
  </si>
  <si>
    <t>Major Market Movers Count</t>
  </si>
  <si>
    <t>OPTIMISED INTO OBSOLESCENCE - NIKE STRATEGIC INTELLIGENCE DASHBOARD</t>
  </si>
  <si>
    <t>Forensic BI Analysis | FY2015–FY2024 | Tools: SQL · Excel · Power BI</t>
  </si>
  <si>
    <r>
      <rPr>
        <b/>
        <sz val="9"/>
        <color theme="1"/>
        <rFont val="Calibri"/>
        <family val="2"/>
        <scheme val="minor"/>
      </rPr>
      <t>PEAK REVENUE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8"/>
        <color rgb="FF00B0F0"/>
        <rFont val="Calibri"/>
        <family val="2"/>
        <scheme val="minor"/>
      </rPr>
      <t>51362 M</t>
    </r>
    <r>
      <rPr>
        <sz val="11"/>
        <color theme="1"/>
        <rFont val="Calibri"/>
        <family val="2"/>
        <scheme val="minor"/>
      </rPr>
      <t xml:space="preserve">
</t>
    </r>
    <r>
      <rPr>
        <sz val="8"/>
        <color theme="2" tint="-0.499984740745262"/>
        <rFont val="Calibri"/>
        <family val="2"/>
        <scheme val="minor"/>
      </rPr>
      <t>FY2023</t>
    </r>
  </si>
  <si>
    <r>
      <rPr>
        <b/>
        <sz val="9"/>
        <color theme="1"/>
        <rFont val="Calibri"/>
        <family val="2"/>
        <scheme val="minor"/>
      </rPr>
      <t>PEAK GROSS MARGIN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8"/>
        <color theme="4"/>
        <rFont val="Calibri"/>
        <family val="2"/>
        <scheme val="minor"/>
      </rPr>
      <t>46.24%</t>
    </r>
    <r>
      <rPr>
        <sz val="11"/>
        <color theme="1"/>
        <rFont val="Calibri"/>
        <family val="2"/>
        <scheme val="minor"/>
      </rPr>
      <t xml:space="preserve">
</t>
    </r>
    <r>
      <rPr>
        <b/>
        <sz val="8"/>
        <color theme="2" tint="-0.249977111117893"/>
        <rFont val="Calibri"/>
        <family val="2"/>
        <scheme val="minor"/>
      </rPr>
      <t>FY2022</t>
    </r>
  </si>
  <si>
    <r>
      <t xml:space="preserve">PEAK OPERATING MARGIN
</t>
    </r>
    <r>
      <rPr>
        <b/>
        <sz val="18"/>
        <color theme="4"/>
        <rFont val="Calibri"/>
        <family val="2"/>
        <scheme val="minor"/>
      </rPr>
      <t>15.58%</t>
    </r>
    <r>
      <rPr>
        <b/>
        <sz val="9"/>
        <color theme="1"/>
        <rFont val="Calibri"/>
        <family val="2"/>
        <scheme val="minor"/>
      </rPr>
      <t xml:space="preserve">
</t>
    </r>
    <r>
      <rPr>
        <b/>
        <sz val="8"/>
        <color theme="2" tint="-0.249977111117893"/>
        <rFont val="Calibri"/>
        <family val="2"/>
        <scheme val="minor"/>
      </rPr>
      <t>FY2021 — CDO Peak</t>
    </r>
  </si>
  <si>
    <r>
      <t xml:space="preserve">OPERATING MARGIN FY2024
</t>
    </r>
    <r>
      <rPr>
        <b/>
        <sz val="18"/>
        <color theme="4"/>
        <rFont val="Calibri"/>
        <family val="2"/>
        <scheme val="minor"/>
      </rPr>
      <t>12.29%</t>
    </r>
    <r>
      <rPr>
        <b/>
        <sz val="9"/>
        <color theme="1"/>
        <rFont val="Calibri"/>
        <family val="2"/>
        <scheme val="minor"/>
      </rPr>
      <t xml:space="preserve">
</t>
    </r>
    <r>
      <rPr>
        <b/>
        <sz val="8"/>
        <color theme="2" tint="-0.249977111117893"/>
        <rFont val="Calibri"/>
        <family val="2"/>
        <scheme val="minor"/>
      </rPr>
      <t>vs 15.58% at peak</t>
    </r>
  </si>
  <si>
    <r>
      <t xml:space="preserve">D2C SHARE AT PEAK
</t>
    </r>
    <r>
      <rPr>
        <b/>
        <sz val="18"/>
        <color theme="4"/>
        <rFont val="Calibri"/>
        <family val="2"/>
        <scheme val="minor"/>
      </rPr>
      <t xml:space="preserve">43.7%
</t>
    </r>
    <r>
      <rPr>
        <b/>
        <sz val="8"/>
        <color theme="2" tint="-0.249977111117893"/>
        <rFont val="Calibri"/>
        <family val="2"/>
        <scheme val="minor"/>
      </rPr>
      <t>FY2023 — CDO Target was 60%</t>
    </r>
  </si>
  <si>
    <r>
      <t xml:space="preserve">WHOLESALE ACCOUNTS CUT
</t>
    </r>
    <r>
      <rPr>
        <b/>
        <sz val="18"/>
        <color theme="4"/>
        <rFont val="Calibri"/>
        <family val="2"/>
        <scheme val="minor"/>
      </rPr>
      <t xml:space="preserve">50,000+
</t>
    </r>
    <r>
      <rPr>
        <b/>
        <sz val="8"/>
        <color theme="2" tint="-0.249977111117893"/>
        <rFont val="Calibri"/>
        <family val="2"/>
        <scheme val="minor"/>
      </rPr>
      <t>FY2019–FY2022</t>
    </r>
  </si>
  <si>
    <r>
      <t xml:space="preserve">REVENUE GAP VS SCENARIO A
</t>
    </r>
    <r>
      <rPr>
        <b/>
        <sz val="18"/>
        <color theme="4"/>
        <rFont val="Calibri"/>
        <family val="2"/>
        <scheme val="minor"/>
      </rPr>
      <t>~$5.6B</t>
    </r>
    <r>
      <rPr>
        <b/>
        <sz val="9"/>
        <color theme="1"/>
        <rFont val="Calibri"/>
        <family val="2"/>
        <scheme val="minor"/>
      </rPr>
      <t xml:space="preserve">
</t>
    </r>
    <r>
      <rPr>
        <b/>
        <sz val="8"/>
        <color theme="2" tint="-0.249977111117893"/>
        <rFont val="Calibri"/>
        <family val="2"/>
        <scheme val="minor"/>
      </rPr>
      <t>Estimated FY2024 shortfall</t>
    </r>
  </si>
  <si>
    <r>
      <t xml:space="preserve">NIKE STOCK DECLINE FROM PEAK
</t>
    </r>
    <r>
      <rPr>
        <b/>
        <sz val="18"/>
        <color theme="4"/>
        <rFont val="Calibri"/>
        <family val="2"/>
        <scheme val="minor"/>
      </rPr>
      <t>-60.4%</t>
    </r>
    <r>
      <rPr>
        <b/>
        <sz val="9"/>
        <color theme="1"/>
        <rFont val="Calibri"/>
        <family val="2"/>
        <scheme val="minor"/>
      </rPr>
      <t xml:space="preserve">
</t>
    </r>
    <r>
      <rPr>
        <b/>
        <sz val="8"/>
        <color theme="2" tint="-0.249977111117893"/>
        <rFont val="Calibri"/>
        <family val="2"/>
        <scheme val="minor"/>
      </rPr>
      <t>Nov 2021 ($177) → Jun 2024 ($70)</t>
    </r>
  </si>
  <si>
    <t>METRIC</t>
  </si>
  <si>
    <t>FY2017 VALUE</t>
  </si>
  <si>
    <t>FY2024 VALUE</t>
  </si>
  <si>
    <t>DIRECTION</t>
  </si>
  <si>
    <t>STATUS</t>
  </si>
  <si>
    <t>ASSESSMENT</t>
  </si>
  <si>
    <t>Gross Margin %</t>
  </si>
  <si>
    <t>↓</t>
  </si>
  <si>
    <t>AMBER</t>
  </si>
  <si>
    <t>Margin held but below 2016 peak of 46.24%</t>
  </si>
  <si>
    <t>Operating Margin %</t>
  </si>
  <si>
    <t>RED</t>
  </si>
  <si>
    <t>Fell 354 bps from FY2021 peak despite higher D2C share</t>
  </si>
  <si>
    <t>D2C Revenue Share</t>
  </si>
  <si>
    <t>↑</t>
  </si>
  <si>
    <t>GREEN</t>
  </si>
  <si>
    <t>CDO objective achieved — but at operating cost</t>
  </si>
  <si>
    <t>Wholesale Revenue ($M)</t>
  </si>
  <si>
    <t>Recovering but below optimal level; key partners still rebuilding</t>
  </si>
  <si>
    <t>SGA % of Revenue</t>
  </si>
  <si>
    <t>Rose 1.52 pts — D2C operating costs absorbed all gross margin gains</t>
  </si>
  <si>
    <t>Nike Market Share %</t>
  </si>
  <si>
    <t>Lost 8 points to Hoka On Running New Balance since CDO launch</t>
  </si>
  <si>
    <t>Digital Revenue ($M)</t>
  </si>
  <si>
    <t>Strong digital build — the one clear CDO win</t>
  </si>
  <si>
    <t>LTV:CAC — Best Wholesale</t>
  </si>
  <si>
    <t>Est. 9.0x</t>
  </si>
  <si>
    <t>→</t>
  </si>
  <si>
    <t>Wholesale CAC near zero preserved strong LTV:CAC throughout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</si>
</sst>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rgb="FF00B0F0"/>
      <name val="Calibri"/>
      <family val="2"/>
      <scheme val="minor"/>
    </font>
    <font>
      <sz val="8"/>
      <color theme="2" tint="-0.499984740745262"/>
      <name val="Calibri"/>
      <family val="2"/>
      <scheme val="minor"/>
    </font>
    <font>
      <b/>
      <sz val="18"/>
      <color theme="4"/>
      <name val="Calibri"/>
      <family val="2"/>
      <scheme val="minor"/>
    </font>
    <font>
      <b/>
      <sz val="8"/>
      <color theme="2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5" fontId="0" fillId="0" borderId="0" xfId="0" applyNumberFormat="1"/>
    <xf numFmtId="0" fontId="3" fillId="2" borderId="0" xfId="0" applyFont="1" applyFill="1"/>
    <xf numFmtId="0" fontId="2" fillId="0" borderId="0" xfId="0" applyFont="1"/>
    <xf numFmtId="0" fontId="4" fillId="0" borderId="0" xfId="0" applyFont="1" applyAlignment="1">
      <alignment horizontal="center"/>
    </xf>
    <xf numFmtId="0" fontId="1" fillId="2" borderId="0" xfId="0" applyFont="1" applyFill="1"/>
    <xf numFmtId="2" fontId="0" fillId="0" borderId="0" xfId="0" applyNumberFormat="1"/>
    <xf numFmtId="0" fontId="1" fillId="4" borderId="0" xfId="0" applyFont="1" applyFill="1"/>
    <xf numFmtId="10" fontId="0" fillId="0" borderId="0" xfId="0" applyNumberFormat="1"/>
    <xf numFmtId="0" fontId="10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11"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9"/>
        </patternFill>
      </fill>
    </dxf>
    <dxf>
      <numFmt numFmtId="20" formatCode="dd/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1F3864"/>
        </patternFill>
      </fill>
    </dxf>
    <dxf>
      <numFmt numFmtId="20" formatCode="dd/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1F38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1F38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1F3864"/>
        </patternFill>
      </fill>
    </dxf>
    <dxf>
      <numFmt numFmtId="20" formatCode="dd/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1F3864"/>
        </patternFill>
      </fill>
    </dxf>
  </dxfs>
  <tableStyles count="0" defaultTableStyle="TableStyleMedium2" defaultPivotStyle="PivotStyleLight16"/>
  <colors>
    <mruColors>
      <color rgb="FFD9D9D9"/>
      <color rgb="FF1F38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6F5104-1F83-4E2F-9EE6-D022454826A2}" name="tbl_Financial" displayName="tbl_Financial" ref="A1:L11" totalsRowShown="0" headerRowDxfId="10">
  <autoFilter ref="A1:L11" xr:uid="{326F5104-1F83-4E2F-9EE6-D022454826A2}"/>
  <tableColumns count="12">
    <tableColumn id="1" xr3:uid="{3741A803-5BF4-4339-9B4C-B56EAFC13EAD}" name="Fiscal_Year"/>
    <tableColumn id="2" xr3:uid="{498FD630-0564-4E03-BCC9-5FA07F4FB0E3}" name="Period_End" dataDxfId="9"/>
    <tableColumn id="3" xr3:uid="{4991C6BA-69D1-41FA-B929-F8550CEB479D}" name="Total_Revenue_M"/>
    <tableColumn id="4" xr3:uid="{417008E1-19B0-4AF4-BDAF-F264D9684298}" name="COGS_M"/>
    <tableColumn id="5" xr3:uid="{4506148C-1700-481A-8466-62479F719BCB}" name="Gross_Profit_M"/>
    <tableColumn id="6" xr3:uid="{121D2997-D848-4611-9CBE-8FEBC2B54731}" name="Gross_Margin_Pct"/>
    <tableColumn id="7" xr3:uid="{1324AA6D-208B-4042-8646-596DA928B14F}" name="Operating_Income_M"/>
    <tableColumn id="8" xr3:uid="{76A39042-BE64-479B-8599-80017389EB4B}" name="Operating_Margin_Pct"/>
    <tableColumn id="9" xr3:uid="{95EB342C-A716-4E6F-A01D-E44CF986A9B9}" name="Net_Income_M"/>
    <tableColumn id="10" xr3:uid="{FE448F04-B270-4785-AF14-6CE25B65AF9C}" name="Net_Margin_Pct"/>
    <tableColumn id="11" xr3:uid="{75C52C06-B140-4A46-B500-66E802B5EECF}" name="SGA_Expenses_M"/>
    <tableColumn id="12" xr3:uid="{8938A819-2F5E-4795-909B-35BABCE9ED53}" name="SGA_Pct_Revenue"/>
  </tableColumns>
  <tableStyleInfo name="TableStyleDark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08B908-D82F-474C-B4D4-376D4DB0DCB9}" name="tbl_Channel" displayName="tbl_Channel" ref="A1:M11" totalsRowShown="0">
  <autoFilter ref="A1:M11" xr:uid="{6008B908-D82F-474C-B4D4-376D4DB0DCB9}"/>
  <tableColumns count="13">
    <tableColumn id="1" xr3:uid="{B4FA8AE3-B5A2-4135-97F7-EDE2ECBCE879}" name="Fiscal_Year"/>
    <tableColumn id="2" xr3:uid="{A90DF461-2D68-4111-9F62-B14E24B4F5E7}" name="Total_Nike_Brand_Revenue_M"/>
    <tableColumn id="3" xr3:uid="{438CCED9-F0C6-49A4-A6B2-C44B1A3A0432}" name="Nike_Direct_Revenue_M"/>
    <tableColumn id="4" xr3:uid="{EE38296D-52D6-4ED9-BCAB-3B01BBE3B083}" name="Wholesale_Revenue_M"/>
    <tableColumn id="5" xr3:uid="{0C703DC8-403A-41DB-9911-5618C2547E65}" name="Digital_Revenue_M"/>
    <tableColumn id="6" xr3:uid="{9EFC174E-08DB-4601-BEA3-41F522CA5161}" name="Nike_Direct_Share_Pct"/>
    <tableColumn id="7" xr3:uid="{9C3CED03-FFB3-4B10-B8B2-25184BFAC5AF}" name="Wholesale_Share_Pct"/>
    <tableColumn id="8" xr3:uid="{AE370F92-35D5-49A0-A981-7086650FAE3F}" name="CDO_Phase"/>
    <tableColumn id="9" xr3:uid="{E8AA97E8-C430-4DB8-9A81-CB629C6B8BC9}" name="Key_Event"/>
    <tableColumn id="10" xr3:uid="{6D63C65A-D29E-4B46-B0CC-02D66B3E439D}" name="Column1"/>
    <tableColumn id="11" xr3:uid="{583C654B-3797-48FF-9D78-6AB4F8FB657E}" name="Column2"/>
    <tableColumn id="12" xr3:uid="{98CF367F-6BF9-4D29-85B1-6B16A58AE0A4}" name="Column3"/>
    <tableColumn id="13" xr3:uid="{7181D29C-4AA6-4EE6-BFA9-2AF9E94C280F}" name="Column4"/>
  </tableColumns>
  <tableStyleInfo name="TableStyleDark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D9F83C-2DDB-47A5-B602-C33EB1B567DD}" name="tbl_Market" displayName="tbl_Market" ref="A1:K9" totalsRowShown="0" headerRowDxfId="8">
  <autoFilter ref="A1:K9" xr:uid="{D2D9F83C-2DDB-47A5-B602-C33EB1B567DD}"/>
  <tableColumns count="11">
    <tableColumn id="1" xr3:uid="{DFEB7BBA-8E6A-4274-A0C4-5BCA79927D4E}" name="Year"/>
    <tableColumn id="2" xr3:uid="{2D6F08DF-6EAA-4C21-9293-268641BFBD56}" name="Nike_Athletic_Footwear_Share_Pct"/>
    <tableColumn id="3" xr3:uid="{51A9A3B6-9997-4A91-AF27-548A13A4581F}" name="Adidas_Share_Pct"/>
    <tableColumn id="4" xr3:uid="{0834B957-6CD2-44F9-A614-E93B5FF3F03E}" name="Hoka_Share_Pct"/>
    <tableColumn id="5" xr3:uid="{DABB54F0-4FD2-481B-9D4F-A753FC4A7F05}" name="On_Running_Share_Pct"/>
    <tableColumn id="6" xr3:uid="{E70D3171-A223-4AF7-9B0A-3CA2D9473D0C}" name="New_Balance_Share_Pct"/>
    <tableColumn id="7" xr3:uid="{F046DF31-C441-4065-9F76-611750039C1E}" name="Under_Armour_Share_Pct"/>
    <tableColumn id="8" xr3:uid="{E05319B0-B17F-4AF5-978E-253521D8BBBD}" name="Nike_D2C_Pct"/>
    <tableColumn id="9" xr3:uid="{062B2457-35EA-403F-9CD2-1AA9DD7979FB}" name="Adidas_D2C_Pct"/>
    <tableColumn id="10" xr3:uid="{34ABC0AF-3574-4646-A0AA-B4D07902431F}" name="Nike_Digital_Revenue_M"/>
    <tableColumn id="11" xr3:uid="{AB263BAE-57BC-49C7-9DB1-05F23912929F}" name="Adidas_Digital_Revenue_M"/>
  </tableColumns>
  <tableStyleInfo name="TableStyleDark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6D80EDC-6DB1-47F4-A01C-E379C7FC7719}" name="tbl_Market1" displayName="tbl_Market1" ref="A13:J20" totalsRowShown="0" headerRowDxfId="7">
  <autoFilter ref="A13:J20" xr:uid="{B6D80EDC-6DB1-47F4-A01C-E379C7FC7719}"/>
  <tableColumns count="10">
    <tableColumn id="1" xr3:uid="{2D060E64-CED5-478F-B02C-B71399E88308}" name="Channel"/>
    <tableColumn id="2" xr3:uid="{FA589F42-2192-4DA8-9907-B03851B59072}" name="Avg_Order_Value_USD"/>
    <tableColumn id="3" xr3:uid="{42AE5A2A-C5ED-4AF3-B02E-4BC65E429957}" name="Purchase_Frequency_Per_Year"/>
    <tableColumn id="4" xr3:uid="{C126A09E-FBBB-474B-86DB-45636BA8E1C9}" name="Avg_Customer_Lifespan_Years"/>
    <tableColumn id="5" xr3:uid="{5134C9FD-DB13-484F-91A1-E3B31CE58937}" name="Est_Gross_Margin_Pct"/>
    <tableColumn id="6" xr3:uid="{2761F2B9-C621-48AA-8CF2-39BE932D4621}" name="Customer_Acquisition_Cost_USD"/>
    <tableColumn id="7" xr3:uid="{B4B113FB-DBE5-4DF3-9CF6-655771DB5402}" name="Estimated_CLV_USD"/>
    <tableColumn id="8" xr3:uid="{27B3F6A6-1D1C-4FD6-ABE3-1C6CA5696468}" name="LTV_CAC_Ratio"/>
    <tableColumn id="9" xr3:uid="{C262D9F3-C702-491B-A39F-677CF7884573}" name="Retention_Rate_Pct"/>
    <tableColumn id="10" xr3:uid="{CB7435CB-C554-4CCA-B836-A8EA201333AB}" name="Segment_Type"/>
  </tableColumns>
  <tableStyleInfo name="TableStyleDark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D833943-03D3-402C-AD34-0C69AD3C20F9}" name="tbl_Stock" displayName="tbl_Stock" ref="A1:L13" totalsRowShown="0" headerRowDxfId="6">
  <autoFilter ref="A1:L13" xr:uid="{BD833943-03D3-402C-AD34-0C69AD3C20F9}"/>
  <tableColumns count="12">
    <tableColumn id="1" xr3:uid="{EC98FD0C-1BFB-40B5-9519-F80743582DE9}" name="Event_ID"/>
    <tableColumn id="2" xr3:uid="{D072B667-C8BC-4594-9600-6F028CC60D65}" name="Event_Date" dataDxfId="5"/>
    <tableColumn id="3" xr3:uid="{8849BE7B-4A4D-429C-A6FF-E6920939A664}" name="Event_Name"/>
    <tableColumn id="4" xr3:uid="{FAED1B9E-01A8-48E1-B49A-2A58EFC47639}" name="Event_Category"/>
    <tableColumn id="5" xr3:uid="{80C0C1BA-8CCC-40C6-87FB-2FD0F0FB6076}" name="Decision_Type"/>
    <tableColumn id="6" xr3:uid="{A6B86C61-FB8C-4F07-AC11-040C60FE5E42}" name="NKE_Price_On_Event"/>
    <tableColumn id="7" xr3:uid="{CB3D66A0-BD2A-46B5-BEBA-D35C6BECCA6A}" name="NKE_Price_30d_After"/>
    <tableColumn id="8" xr3:uid="{F891848C-D030-4AB8-8030-390081354FA0}" name="NKE_Price_90d_After"/>
    <tableColumn id="9" xr3:uid="{04E5A706-215A-4E76-B9A3-17046D98EE7B}" name="Return_30d_Pct"/>
    <tableColumn id="10" xr3:uid="{7117D964-F55C-4D49-AC4C-E80658584875}" name="Return_90d_Pct"/>
    <tableColumn id="11" xr3:uid="{A8DD0A13-F7AB-4422-BC1F-2773972C4412}" name="Market_Verdict"/>
    <tableColumn id="12" xr3:uid="{DF97F3CA-0419-4847-8541-5A11B19929F6}" name="Column1"/>
  </tableColumns>
  <tableStyleInfo name="TableStyleDark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0ADFC9F-90E0-434E-B7B4-D0E3CDC06A85}" name="Table9" displayName="Table9" ref="A16:L40" totalsRowShown="0" headerRowDxfId="4">
  <autoFilter ref="A16:L40" xr:uid="{B0ADFC9F-90E0-434E-B7B4-D0E3CDC06A85}"/>
  <tableColumns count="12">
    <tableColumn id="1" xr3:uid="{AD0E2921-A4B9-4AD1-8168-EEDB3AC259EF}" name="Fiscal_Year"/>
    <tableColumn id="2" xr3:uid="{FD4E0ECB-0DAF-4AE9-825D-9826B486E078}" name="Quarter"/>
    <tableColumn id="3" xr3:uid="{3ACE308F-5FE5-4C9B-A0F8-2CEF9B46B5DD}" name="Period_End" dataDxfId="3"/>
    <tableColumn id="4" xr3:uid="{6204B13C-453A-43DE-ADE0-3195C8DB92E8}" name="Revenue_M"/>
    <tableColumn id="5" xr3:uid="{3BAB20C1-208F-4C8F-A2CE-0FE529025ADE}" name="Gross_Profit_M"/>
    <tableColumn id="6" xr3:uid="{2632D4EC-B2C7-4E22-AEEF-1F0E63F654D5}" name="Gross_Margin_Pct"/>
    <tableColumn id="7" xr3:uid="{5AFC878E-90DF-49A6-A5F6-E17709FCF0D1}" name="Operating_Income_M"/>
    <tableColumn id="8" xr3:uid="{9AB67F12-A75B-4E1B-A9FF-8505CA12AB4F}" name="Operating_Margin_Pct"/>
    <tableColumn id="9" xr3:uid="{CA314F2A-3FA0-45D5-8C7C-FA3DF77F51C5}" name="Nike_Direct_Revenue_M"/>
    <tableColumn id="10" xr3:uid="{F97C6601-EA4A-4445-9A2D-6FE594EDE2FF}" name="Wholesale_Revenue_M"/>
    <tableColumn id="11" xr3:uid="{6FA6F48A-551F-4E65-8CC5-1FF9BC0E720B}" name="Inventory_M"/>
    <tableColumn id="12" xr3:uid="{06C5BC9D-7B52-47D8-AA9B-3C69A56B2D49}" name="Column1"/>
  </tableColumns>
  <tableStyleInfo name="TableStyleDark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F47F537-BABB-4B6F-AB46-56AD5E963FD3}" name="Table10" displayName="Table10" ref="A44:L55" totalsRowShown="0">
  <autoFilter ref="A44:L55" xr:uid="{CF47F537-BABB-4B6F-AB46-56AD5E963FD3}"/>
  <tableColumns count="12">
    <tableColumn id="1" xr3:uid="{5E23F55C-F786-4D36-AE1C-A116EE5DF0E3}" name="Fiscal_Year"/>
    <tableColumn id="2" xr3:uid="{2A4A20B6-2AE9-4E0E-9758-86D4C9038B4A}" name="Actual_Revenue_M"/>
    <tableColumn id="3" xr3:uid="{3D978E1F-F25E-4B55-8D9A-3BF7E4063CC5}" name="Actual_Op_Margin_Pct"/>
    <tableColumn id="4" xr3:uid="{81C7625B-18CE-4A73-B196-B120DBA9444F}" name="ScenarioA_Balanced_Revenue_M"/>
    <tableColumn id="5" xr3:uid="{7C2A4226-DB45-4DBE-A3E5-B78EFDCBB13B}" name="ScenarioA_Op_Margin_Pct"/>
    <tableColumn id="6" xr3:uid="{CDBFC76D-D1B6-4367-BABF-4D1D233A1021}" name="ScenarioB_Actual_Revenue_M"/>
    <tableColumn id="7" xr3:uid="{232DBCD5-A0EF-4421-B7FC-18AB17E69EF2}" name="ScenarioB_Op_Margin_Pct"/>
    <tableColumn id="8" xr3:uid="{DFBF7273-5ACF-47EF-931E-04FD6DA70069}" name="ScenarioC_Recovery_Revenue_M"/>
    <tableColumn id="9" xr3:uid="{A32379A4-C09F-4AF4-8D3D-FEBFFB8B09C5}" name="ScenarioC_Op_Margin_Pct"/>
    <tableColumn id="10" xr3:uid="{68DC0818-B97E-42D0-BB64-C87F935C542A}" name="Notes"/>
    <tableColumn id="11" xr3:uid="{769DB36A-F15F-4DFA-BCFF-E7BD64255D22}" name="Column1"/>
    <tableColumn id="12" xr3:uid="{5358817E-F0E3-4254-A70E-1A240849034C}" name="Column2"/>
  </tableColumns>
  <tableStyleInfo name="TableStyleDark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1"/>
  <sheetViews>
    <sheetView tabSelected="1" zoomScale="85" zoomScaleNormal="85" workbookViewId="0">
      <selection activeCell="F14" sqref="F14"/>
    </sheetView>
  </sheetViews>
  <sheetFormatPr defaultRowHeight="14.4" x14ac:dyDescent="0.3"/>
  <cols>
    <col min="1" max="1" width="12" customWidth="1"/>
    <col min="2" max="2" width="12.109375" customWidth="1"/>
    <col min="3" max="3" width="17.77734375" customWidth="1"/>
    <col min="4" max="4" width="10.109375" customWidth="1"/>
    <col min="5" max="5" width="15.6640625" customWidth="1"/>
    <col min="6" max="6" width="17.6640625" customWidth="1"/>
    <col min="7" max="7" width="20.6640625" customWidth="1"/>
    <col min="8" max="8" width="21.109375" customWidth="1"/>
    <col min="9" max="9" width="15.6640625" customWidth="1"/>
    <col min="10" max="10" width="16.109375" customWidth="1"/>
    <col min="11" max="11" width="17.21875" customWidth="1"/>
    <col min="12" max="12" width="19.88671875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</row>
    <row r="2" spans="1:13" x14ac:dyDescent="0.3">
      <c r="A2">
        <v>2015</v>
      </c>
      <c r="B2" s="1">
        <v>42155</v>
      </c>
      <c r="C2">
        <v>30601</v>
      </c>
      <c r="D2">
        <v>16534</v>
      </c>
      <c r="E2">
        <v>14067</v>
      </c>
      <c r="F2">
        <v>45.97</v>
      </c>
      <c r="G2">
        <v>4173</v>
      </c>
      <c r="H2">
        <v>13.64</v>
      </c>
      <c r="I2">
        <v>3273</v>
      </c>
      <c r="J2">
        <v>10.7</v>
      </c>
      <c r="K2">
        <v>8766</v>
      </c>
      <c r="L2">
        <v>28.64</v>
      </c>
    </row>
    <row r="3" spans="1:13" x14ac:dyDescent="0.3">
      <c r="A3">
        <v>2016</v>
      </c>
      <c r="B3" s="1">
        <v>42521</v>
      </c>
      <c r="C3">
        <v>32376</v>
      </c>
      <c r="D3">
        <v>17405</v>
      </c>
      <c r="E3">
        <v>14971</v>
      </c>
      <c r="F3">
        <v>46.24</v>
      </c>
      <c r="G3">
        <v>4503</v>
      </c>
      <c r="H3">
        <v>13.91</v>
      </c>
      <c r="I3">
        <v>3760</v>
      </c>
      <c r="J3">
        <v>11.61</v>
      </c>
      <c r="K3">
        <v>9892</v>
      </c>
      <c r="L3">
        <v>30.55</v>
      </c>
    </row>
    <row r="4" spans="1:13" x14ac:dyDescent="0.3">
      <c r="A4">
        <v>2017</v>
      </c>
      <c r="B4" s="1">
        <v>42886</v>
      </c>
      <c r="C4">
        <v>34350</v>
      </c>
      <c r="D4">
        <v>19038</v>
      </c>
      <c r="E4">
        <v>15312</v>
      </c>
      <c r="F4">
        <v>44.58</v>
      </c>
      <c r="G4">
        <v>4748</v>
      </c>
      <c r="H4">
        <v>13.83</v>
      </c>
      <c r="I4">
        <v>4240</v>
      </c>
      <c r="J4">
        <v>12.34</v>
      </c>
      <c r="K4">
        <v>10563</v>
      </c>
      <c r="L4">
        <v>30.75</v>
      </c>
    </row>
    <row r="5" spans="1:13" x14ac:dyDescent="0.3">
      <c r="A5">
        <v>2018</v>
      </c>
      <c r="B5" s="1">
        <v>43251</v>
      </c>
      <c r="C5">
        <v>36397</v>
      </c>
      <c r="D5">
        <v>20441</v>
      </c>
      <c r="E5">
        <v>15956</v>
      </c>
      <c r="F5">
        <v>43.84</v>
      </c>
      <c r="G5">
        <v>4445</v>
      </c>
      <c r="H5">
        <v>12.21</v>
      </c>
      <c r="I5">
        <v>1933</v>
      </c>
      <c r="J5">
        <v>5.31</v>
      </c>
      <c r="K5">
        <v>10962</v>
      </c>
      <c r="L5">
        <v>30.12</v>
      </c>
    </row>
    <row r="6" spans="1:13" x14ac:dyDescent="0.3">
      <c r="A6">
        <v>2019</v>
      </c>
      <c r="B6" s="1">
        <v>43616</v>
      </c>
      <c r="C6">
        <v>39117</v>
      </c>
      <c r="D6">
        <v>21643</v>
      </c>
      <c r="E6">
        <v>17474</v>
      </c>
      <c r="F6">
        <v>44.67</v>
      </c>
      <c r="G6">
        <v>4772</v>
      </c>
      <c r="H6">
        <v>12.2</v>
      </c>
      <c r="I6">
        <v>4029</v>
      </c>
      <c r="J6">
        <v>10.3</v>
      </c>
      <c r="K6">
        <v>11534</v>
      </c>
      <c r="L6">
        <v>29.49</v>
      </c>
    </row>
    <row r="7" spans="1:13" x14ac:dyDescent="0.3">
      <c r="A7">
        <v>2020</v>
      </c>
      <c r="B7" s="1">
        <v>43982</v>
      </c>
      <c r="C7">
        <v>37403</v>
      </c>
      <c r="D7">
        <v>21162</v>
      </c>
      <c r="E7">
        <v>16241</v>
      </c>
      <c r="F7">
        <v>43.42</v>
      </c>
      <c r="G7">
        <v>3114</v>
      </c>
      <c r="H7">
        <v>8.33</v>
      </c>
      <c r="I7">
        <v>2539</v>
      </c>
      <c r="J7">
        <v>6.79</v>
      </c>
      <c r="K7">
        <v>11736</v>
      </c>
      <c r="L7">
        <v>31.38</v>
      </c>
    </row>
    <row r="8" spans="1:13" x14ac:dyDescent="0.3">
      <c r="A8">
        <v>2021</v>
      </c>
      <c r="B8" s="1">
        <v>44347</v>
      </c>
      <c r="C8">
        <v>44538</v>
      </c>
      <c r="D8">
        <v>24576</v>
      </c>
      <c r="E8">
        <v>19962</v>
      </c>
      <c r="F8">
        <v>44.82</v>
      </c>
      <c r="G8">
        <v>6942</v>
      </c>
      <c r="H8">
        <v>15.58</v>
      </c>
      <c r="I8">
        <v>5727</v>
      </c>
      <c r="J8">
        <v>12.86</v>
      </c>
      <c r="K8">
        <v>13045</v>
      </c>
      <c r="L8">
        <v>29.29</v>
      </c>
    </row>
    <row r="9" spans="1:13" x14ac:dyDescent="0.3">
      <c r="A9">
        <v>2022</v>
      </c>
      <c r="B9" s="1">
        <v>44712</v>
      </c>
      <c r="C9">
        <v>46710</v>
      </c>
      <c r="D9">
        <v>25231</v>
      </c>
      <c r="E9">
        <v>21479</v>
      </c>
      <c r="F9">
        <v>45.98</v>
      </c>
      <c r="G9">
        <v>6680</v>
      </c>
      <c r="H9">
        <v>14.29</v>
      </c>
      <c r="I9">
        <v>6046</v>
      </c>
      <c r="J9">
        <v>12.94</v>
      </c>
      <c r="K9">
        <v>14804</v>
      </c>
      <c r="L9">
        <v>31.69</v>
      </c>
    </row>
    <row r="10" spans="1:13" x14ac:dyDescent="0.3">
      <c r="A10">
        <v>2023</v>
      </c>
      <c r="B10" s="1">
        <v>45077</v>
      </c>
      <c r="C10">
        <v>51217</v>
      </c>
      <c r="D10">
        <v>28925</v>
      </c>
      <c r="E10">
        <v>22292</v>
      </c>
      <c r="F10">
        <v>43.52</v>
      </c>
      <c r="G10">
        <v>5921</v>
      </c>
      <c r="H10">
        <v>11.55</v>
      </c>
      <c r="I10">
        <v>5070</v>
      </c>
      <c r="J10">
        <v>9.9</v>
      </c>
      <c r="K10">
        <v>16377</v>
      </c>
      <c r="L10">
        <v>31.98</v>
      </c>
    </row>
    <row r="11" spans="1:13" x14ac:dyDescent="0.3">
      <c r="A11">
        <v>2024</v>
      </c>
      <c r="B11" s="1">
        <v>45443</v>
      </c>
      <c r="C11">
        <v>51362</v>
      </c>
      <c r="D11">
        <v>28475</v>
      </c>
      <c r="E11">
        <v>22887</v>
      </c>
      <c r="F11">
        <v>44.56</v>
      </c>
      <c r="G11">
        <v>6317</v>
      </c>
      <c r="H11">
        <v>12.29</v>
      </c>
      <c r="I11">
        <v>5700</v>
      </c>
      <c r="J11">
        <v>11.1</v>
      </c>
      <c r="K11">
        <v>16576</v>
      </c>
      <c r="L11">
        <v>32.270000000000003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F903C-5154-4EBC-A522-DF5D5A50C3AC}">
  <sheetPr codeName="Sheet2"/>
  <dimension ref="A1:M11"/>
  <sheetViews>
    <sheetView workbookViewId="0">
      <selection activeCell="B5" sqref="B5"/>
    </sheetView>
  </sheetViews>
  <sheetFormatPr defaultRowHeight="14.4" x14ac:dyDescent="0.3"/>
  <cols>
    <col min="1" max="1" width="12" customWidth="1"/>
    <col min="2" max="2" width="28.21875" customWidth="1"/>
    <col min="3" max="3" width="23.109375" customWidth="1"/>
    <col min="4" max="4" width="22.109375" customWidth="1"/>
    <col min="5" max="5" width="18.6640625" customWidth="1"/>
    <col min="6" max="6" width="21.5546875" customWidth="1"/>
    <col min="7" max="7" width="20.5546875" customWidth="1"/>
    <col min="8" max="8" width="12.33203125" customWidth="1"/>
    <col min="9" max="9" width="11.33203125" customWidth="1"/>
    <col min="10" max="13" width="10.109375" customWidth="1"/>
  </cols>
  <sheetData>
    <row r="1" spans="1:13" x14ac:dyDescent="0.3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t="s">
        <v>117</v>
      </c>
      <c r="K1" t="s">
        <v>118</v>
      </c>
      <c r="L1" t="s">
        <v>119</v>
      </c>
      <c r="M1" t="s">
        <v>120</v>
      </c>
    </row>
    <row r="2" spans="1:13" x14ac:dyDescent="0.3">
      <c r="A2">
        <v>2015</v>
      </c>
      <c r="B2">
        <v>29500</v>
      </c>
      <c r="C2">
        <v>8100</v>
      </c>
      <c r="D2">
        <v>21400</v>
      </c>
      <c r="E2">
        <v>1100</v>
      </c>
      <c r="F2">
        <v>27.5</v>
      </c>
      <c r="G2">
        <v>72.5</v>
      </c>
      <c r="H2" t="s">
        <v>20</v>
      </c>
      <c r="I2" t="s">
        <v>21</v>
      </c>
    </row>
    <row r="3" spans="1:13" x14ac:dyDescent="0.3">
      <c r="A3">
        <v>2016</v>
      </c>
      <c r="B3">
        <v>32014</v>
      </c>
      <c r="C3">
        <v>9000</v>
      </c>
      <c r="D3">
        <v>23014</v>
      </c>
      <c r="E3">
        <v>1400</v>
      </c>
      <c r="F3">
        <v>28.1</v>
      </c>
      <c r="G3">
        <v>71.900000000000006</v>
      </c>
      <c r="H3" t="s">
        <v>20</v>
      </c>
      <c r="I3" t="s">
        <v>22</v>
      </c>
    </row>
    <row r="4" spans="1:13" x14ac:dyDescent="0.3">
      <c r="A4">
        <v>2017</v>
      </c>
      <c r="B4">
        <v>33990</v>
      </c>
      <c r="C4">
        <v>11000</v>
      </c>
      <c r="D4">
        <v>22990</v>
      </c>
      <c r="E4">
        <v>2200</v>
      </c>
      <c r="F4">
        <v>32.4</v>
      </c>
      <c r="G4">
        <v>67.599999999999994</v>
      </c>
      <c r="H4" t="s">
        <v>23</v>
      </c>
      <c r="I4" t="s">
        <v>24</v>
      </c>
    </row>
    <row r="5" spans="1:13" x14ac:dyDescent="0.3">
      <c r="A5">
        <v>2018</v>
      </c>
      <c r="B5">
        <v>35750</v>
      </c>
      <c r="C5">
        <v>12400</v>
      </c>
      <c r="D5">
        <v>23350</v>
      </c>
      <c r="E5">
        <v>2700</v>
      </c>
      <c r="F5">
        <v>34.700000000000003</v>
      </c>
      <c r="G5">
        <v>65.3</v>
      </c>
      <c r="H5" t="s">
        <v>25</v>
      </c>
      <c r="I5" t="s">
        <v>26</v>
      </c>
    </row>
    <row r="6" spans="1:13" x14ac:dyDescent="0.3">
      <c r="A6">
        <v>2019</v>
      </c>
      <c r="B6">
        <v>38985</v>
      </c>
      <c r="C6">
        <v>11800</v>
      </c>
      <c r="D6">
        <v>27185</v>
      </c>
      <c r="E6">
        <v>3000</v>
      </c>
      <c r="F6">
        <v>30.3</v>
      </c>
      <c r="G6">
        <v>69.7</v>
      </c>
      <c r="H6" t="s">
        <v>25</v>
      </c>
      <c r="I6" t="s">
        <v>27</v>
      </c>
    </row>
    <row r="7" spans="1:13" x14ac:dyDescent="0.3">
      <c r="A7">
        <v>2020</v>
      </c>
      <c r="B7">
        <v>37403</v>
      </c>
      <c r="C7">
        <v>12400</v>
      </c>
      <c r="D7">
        <v>25003</v>
      </c>
      <c r="E7">
        <v>3500</v>
      </c>
      <c r="F7">
        <v>33.200000000000003</v>
      </c>
      <c r="G7">
        <v>66.8</v>
      </c>
      <c r="H7" t="s">
        <v>28</v>
      </c>
      <c r="I7" t="s">
        <v>29</v>
      </c>
    </row>
    <row r="8" spans="1:13" x14ac:dyDescent="0.3">
      <c r="A8">
        <v>2021</v>
      </c>
      <c r="B8">
        <v>44436</v>
      </c>
      <c r="C8">
        <v>16400</v>
      </c>
      <c r="D8">
        <v>28036</v>
      </c>
      <c r="E8">
        <v>7400</v>
      </c>
      <c r="F8">
        <v>36.9</v>
      </c>
      <c r="G8">
        <v>63.1</v>
      </c>
      <c r="H8" t="s">
        <v>30</v>
      </c>
      <c r="I8" t="s">
        <v>31</v>
      </c>
    </row>
    <row r="9" spans="1:13" x14ac:dyDescent="0.3">
      <c r="A9">
        <v>2022</v>
      </c>
      <c r="B9">
        <v>44436</v>
      </c>
      <c r="C9">
        <v>18726</v>
      </c>
      <c r="D9">
        <v>25608</v>
      </c>
      <c r="E9">
        <v>8600</v>
      </c>
      <c r="F9">
        <v>42.1</v>
      </c>
      <c r="G9">
        <v>57.9</v>
      </c>
      <c r="H9" t="s">
        <v>32</v>
      </c>
      <c r="I9" t="s">
        <v>33</v>
      </c>
    </row>
    <row r="10" spans="1:13" x14ac:dyDescent="0.3">
      <c r="A10">
        <v>2023</v>
      </c>
      <c r="B10">
        <v>48763</v>
      </c>
      <c r="C10">
        <v>21308</v>
      </c>
      <c r="D10">
        <v>27397</v>
      </c>
      <c r="E10">
        <v>12400</v>
      </c>
      <c r="F10">
        <v>43.7</v>
      </c>
      <c r="G10">
        <v>56.2</v>
      </c>
      <c r="H10" t="s">
        <v>34</v>
      </c>
      <c r="I10" t="s">
        <v>35</v>
      </c>
    </row>
    <row r="11" spans="1:13" x14ac:dyDescent="0.3">
      <c r="A11">
        <v>2024</v>
      </c>
      <c r="B11">
        <v>49322</v>
      </c>
      <c r="C11">
        <v>21519</v>
      </c>
      <c r="D11">
        <v>27758</v>
      </c>
      <c r="E11">
        <v>12100</v>
      </c>
      <c r="F11">
        <v>43.6</v>
      </c>
      <c r="G11">
        <v>56.3</v>
      </c>
      <c r="H11" t="s">
        <v>36</v>
      </c>
      <c r="I11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94FF-6F60-4634-A698-85AFC472BB43}">
  <sheetPr codeName="Sheet3"/>
  <dimension ref="A1:M19"/>
  <sheetViews>
    <sheetView topLeftCell="A2" zoomScale="79" workbookViewId="0">
      <selection activeCell="B27" sqref="B27"/>
    </sheetView>
  </sheetViews>
  <sheetFormatPr defaultRowHeight="14.4" x14ac:dyDescent="0.3"/>
  <cols>
    <col min="1" max="1" width="27.5546875" customWidth="1"/>
    <col min="2" max="2" width="31.77734375" customWidth="1"/>
    <col min="3" max="4" width="27.88671875" customWidth="1"/>
    <col min="5" max="5" width="21.77734375" customWidth="1"/>
    <col min="6" max="6" width="29.77734375" customWidth="1"/>
    <col min="7" max="7" width="24.109375" customWidth="1"/>
    <col min="8" max="8" width="15.5546875" customWidth="1"/>
    <col min="9" max="9" width="19.21875" customWidth="1"/>
    <col min="10" max="10" width="23.33203125" customWidth="1"/>
    <col min="11" max="11" width="25" customWidth="1"/>
  </cols>
  <sheetData>
    <row r="1" spans="1:13" x14ac:dyDescent="0.3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/>
      <c r="M1" s="2"/>
    </row>
    <row r="2" spans="1:13" x14ac:dyDescent="0.3">
      <c r="A2">
        <v>2017</v>
      </c>
      <c r="B2">
        <v>38.200000000000003</v>
      </c>
      <c r="C2">
        <v>20.100000000000001</v>
      </c>
      <c r="D2">
        <v>0.8</v>
      </c>
      <c r="E2">
        <v>0.3</v>
      </c>
      <c r="F2">
        <v>5.2</v>
      </c>
      <c r="G2">
        <v>7.5</v>
      </c>
      <c r="H2">
        <v>32.4</v>
      </c>
      <c r="I2">
        <v>22</v>
      </c>
      <c r="J2">
        <v>2200</v>
      </c>
      <c r="K2">
        <v>1600</v>
      </c>
    </row>
    <row r="3" spans="1:13" x14ac:dyDescent="0.3">
      <c r="A3">
        <v>2018</v>
      </c>
      <c r="B3">
        <v>37.5</v>
      </c>
      <c r="C3">
        <v>20.8</v>
      </c>
      <c r="D3">
        <v>1.1000000000000001</v>
      </c>
      <c r="E3">
        <v>0.5</v>
      </c>
      <c r="F3">
        <v>5.5</v>
      </c>
      <c r="G3">
        <v>7.1</v>
      </c>
      <c r="H3">
        <v>34.700000000000003</v>
      </c>
      <c r="I3">
        <v>23</v>
      </c>
      <c r="J3">
        <v>2700</v>
      </c>
      <c r="K3">
        <v>1900</v>
      </c>
    </row>
    <row r="4" spans="1:13" x14ac:dyDescent="0.3">
      <c r="A4">
        <v>2019</v>
      </c>
      <c r="B4">
        <v>36.9</v>
      </c>
      <c r="C4">
        <v>21.4</v>
      </c>
      <c r="D4">
        <v>1.6</v>
      </c>
      <c r="E4">
        <v>0.8</v>
      </c>
      <c r="F4">
        <v>5.8</v>
      </c>
      <c r="G4">
        <v>6.8</v>
      </c>
      <c r="H4">
        <v>30.3</v>
      </c>
      <c r="I4">
        <v>24</v>
      </c>
      <c r="J4">
        <v>3000</v>
      </c>
      <c r="K4">
        <v>2200</v>
      </c>
    </row>
    <row r="5" spans="1:13" x14ac:dyDescent="0.3">
      <c r="A5">
        <v>2020</v>
      </c>
      <c r="B5">
        <v>35.799999999999997</v>
      </c>
      <c r="C5">
        <v>22</v>
      </c>
      <c r="D5">
        <v>2.2999999999999998</v>
      </c>
      <c r="E5">
        <v>1.2</v>
      </c>
      <c r="F5">
        <v>6.1</v>
      </c>
      <c r="G5">
        <v>6.2</v>
      </c>
      <c r="H5">
        <v>33.200000000000003</v>
      </c>
      <c r="I5">
        <v>26</v>
      </c>
      <c r="J5">
        <v>3500</v>
      </c>
      <c r="K5">
        <v>2700</v>
      </c>
    </row>
    <row r="6" spans="1:13" x14ac:dyDescent="0.3">
      <c r="A6">
        <v>2021</v>
      </c>
      <c r="B6">
        <v>34.299999999999997</v>
      </c>
      <c r="C6">
        <v>22.5</v>
      </c>
      <c r="D6">
        <v>3.2</v>
      </c>
      <c r="E6">
        <v>2.1</v>
      </c>
      <c r="F6">
        <v>6.8</v>
      </c>
      <c r="G6">
        <v>5.8</v>
      </c>
      <c r="H6">
        <v>36.9</v>
      </c>
      <c r="I6">
        <v>30</v>
      </c>
      <c r="J6">
        <v>7400</v>
      </c>
      <c r="K6">
        <v>3100</v>
      </c>
    </row>
    <row r="7" spans="1:13" x14ac:dyDescent="0.3">
      <c r="A7">
        <v>2022</v>
      </c>
      <c r="B7">
        <v>33.1</v>
      </c>
      <c r="C7">
        <v>21.8</v>
      </c>
      <c r="D7">
        <v>4.8</v>
      </c>
      <c r="E7">
        <v>3.5</v>
      </c>
      <c r="F7">
        <v>7.5</v>
      </c>
      <c r="G7">
        <v>5.2</v>
      </c>
      <c r="H7">
        <v>42.1</v>
      </c>
      <c r="I7">
        <v>29</v>
      </c>
      <c r="J7">
        <v>8600</v>
      </c>
      <c r="K7">
        <v>3600</v>
      </c>
    </row>
    <row r="8" spans="1:13" x14ac:dyDescent="0.3">
      <c r="A8">
        <v>2023</v>
      </c>
      <c r="B8">
        <v>31.5</v>
      </c>
      <c r="C8">
        <v>20.9</v>
      </c>
      <c r="D8">
        <v>6.1</v>
      </c>
      <c r="E8">
        <v>5.2</v>
      </c>
      <c r="F8">
        <v>8.3000000000000007</v>
      </c>
      <c r="G8">
        <v>4.8</v>
      </c>
      <c r="H8">
        <v>43.7</v>
      </c>
      <c r="I8">
        <v>28</v>
      </c>
      <c r="J8">
        <v>12400</v>
      </c>
      <c r="K8">
        <v>4100</v>
      </c>
    </row>
    <row r="9" spans="1:13" x14ac:dyDescent="0.3">
      <c r="A9">
        <v>2024</v>
      </c>
      <c r="B9">
        <v>30.2</v>
      </c>
      <c r="C9">
        <v>19.8</v>
      </c>
      <c r="D9">
        <v>7.4</v>
      </c>
      <c r="E9">
        <v>6.8</v>
      </c>
      <c r="F9">
        <v>9.1</v>
      </c>
      <c r="G9">
        <v>4.5</v>
      </c>
      <c r="H9">
        <v>43.6</v>
      </c>
      <c r="I9">
        <v>27</v>
      </c>
      <c r="J9">
        <v>12100</v>
      </c>
      <c r="K9">
        <v>4300</v>
      </c>
    </row>
    <row r="12" spans="1:13" ht="46.2" x14ac:dyDescent="0.85">
      <c r="A12" s="15" t="s">
        <v>49</v>
      </c>
      <c r="B12" s="15"/>
      <c r="C12" s="15"/>
      <c r="D12" s="15"/>
      <c r="E12" s="15"/>
      <c r="F12" s="15"/>
      <c r="G12" s="15"/>
      <c r="H12" s="15"/>
      <c r="I12" s="15"/>
      <c r="J12" s="15"/>
    </row>
    <row r="13" spans="1:13" x14ac:dyDescent="0.3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55</v>
      </c>
      <c r="G13" s="2" t="s">
        <v>56</v>
      </c>
      <c r="H13" s="2" t="s">
        <v>57</v>
      </c>
      <c r="I13" s="2" t="s">
        <v>58</v>
      </c>
      <c r="J13" s="2" t="s">
        <v>59</v>
      </c>
      <c r="K13" s="2"/>
    </row>
    <row r="14" spans="1:13" x14ac:dyDescent="0.3">
      <c r="A14" t="s">
        <v>60</v>
      </c>
      <c r="B14">
        <v>92</v>
      </c>
      <c r="C14">
        <v>2.4</v>
      </c>
      <c r="D14">
        <v>2.8</v>
      </c>
      <c r="E14">
        <v>47</v>
      </c>
      <c r="F14">
        <v>45</v>
      </c>
      <c r="G14">
        <v>290.57</v>
      </c>
      <c r="H14">
        <v>6.46</v>
      </c>
      <c r="I14">
        <v>58</v>
      </c>
      <c r="J14" t="s">
        <v>61</v>
      </c>
    </row>
    <row r="15" spans="1:13" x14ac:dyDescent="0.3">
      <c r="A15" t="s">
        <v>62</v>
      </c>
      <c r="B15">
        <v>88</v>
      </c>
      <c r="C15">
        <v>1.9</v>
      </c>
      <c r="D15">
        <v>3.2</v>
      </c>
      <c r="E15">
        <v>44</v>
      </c>
      <c r="F15">
        <v>38</v>
      </c>
      <c r="G15">
        <v>235.42</v>
      </c>
      <c r="H15">
        <v>6.2</v>
      </c>
      <c r="I15">
        <v>62</v>
      </c>
      <c r="J15" t="s">
        <v>61</v>
      </c>
    </row>
    <row r="16" spans="1:13" x14ac:dyDescent="0.3">
      <c r="A16" t="s">
        <v>63</v>
      </c>
      <c r="B16">
        <v>165</v>
      </c>
      <c r="C16">
        <v>3.1</v>
      </c>
      <c r="D16">
        <v>4.5</v>
      </c>
      <c r="E16">
        <v>51</v>
      </c>
      <c r="F16">
        <v>28</v>
      </c>
      <c r="G16">
        <v>1173.8900000000001</v>
      </c>
      <c r="H16">
        <v>41.92</v>
      </c>
      <c r="I16">
        <v>71</v>
      </c>
      <c r="J16" t="s">
        <v>64</v>
      </c>
    </row>
    <row r="17" spans="1:10" x14ac:dyDescent="0.3">
      <c r="A17" t="s">
        <v>65</v>
      </c>
      <c r="B17">
        <v>72</v>
      </c>
      <c r="C17">
        <v>1.4</v>
      </c>
      <c r="D17">
        <v>5.0999999999999996</v>
      </c>
      <c r="E17">
        <v>38</v>
      </c>
      <c r="F17">
        <v>8</v>
      </c>
      <c r="G17">
        <v>195.35</v>
      </c>
      <c r="H17">
        <v>24.42</v>
      </c>
      <c r="I17">
        <v>74</v>
      </c>
      <c r="J17" t="s">
        <v>66</v>
      </c>
    </row>
    <row r="18" spans="1:10" x14ac:dyDescent="0.3">
      <c r="A18" t="s">
        <v>67</v>
      </c>
      <c r="B18">
        <v>68</v>
      </c>
      <c r="C18">
        <v>1.6</v>
      </c>
      <c r="D18">
        <v>4.8</v>
      </c>
      <c r="E18">
        <v>37</v>
      </c>
      <c r="F18">
        <v>6</v>
      </c>
      <c r="G18">
        <v>193.23</v>
      </c>
      <c r="H18">
        <v>32.200000000000003</v>
      </c>
      <c r="I18">
        <v>72</v>
      </c>
      <c r="J18" t="s">
        <v>66</v>
      </c>
    </row>
    <row r="19" spans="1:10" x14ac:dyDescent="0.3">
      <c r="A19" t="s">
        <v>68</v>
      </c>
      <c r="B19">
        <v>61</v>
      </c>
      <c r="C19">
        <v>1.2</v>
      </c>
      <c r="D19">
        <v>4.2</v>
      </c>
      <c r="E19">
        <v>35</v>
      </c>
      <c r="F19">
        <v>4</v>
      </c>
      <c r="G19">
        <v>107.6</v>
      </c>
      <c r="H19">
        <v>26.9</v>
      </c>
      <c r="I19">
        <v>68</v>
      </c>
      <c r="J19" t="s">
        <v>66</v>
      </c>
    </row>
  </sheetData>
  <mergeCells count="1">
    <mergeCell ref="A12:J12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0704E-9619-41F2-BC1B-8D33B7D5E135}">
  <sheetPr codeName="Sheet4"/>
  <dimension ref="A1:L55"/>
  <sheetViews>
    <sheetView zoomScale="99" workbookViewId="0">
      <selection activeCell="I45" sqref="I45"/>
    </sheetView>
  </sheetViews>
  <sheetFormatPr defaultRowHeight="14.4" x14ac:dyDescent="0.3"/>
  <cols>
    <col min="1" max="1" width="13.21875" customWidth="1"/>
    <col min="2" max="2" width="19.6640625" customWidth="1"/>
    <col min="3" max="3" width="23.33203125" customWidth="1"/>
    <col min="4" max="4" width="32" customWidth="1"/>
    <col min="5" max="5" width="26.5546875" customWidth="1"/>
    <col min="6" max="6" width="29.44140625" customWidth="1"/>
    <col min="7" max="7" width="26.5546875" customWidth="1"/>
    <col min="8" max="8" width="31.77734375" customWidth="1"/>
    <col min="9" max="9" width="26.5546875" customWidth="1"/>
    <col min="10" max="10" width="22.109375" customWidth="1"/>
    <col min="11" max="11" width="15.5546875" customWidth="1"/>
    <col min="12" max="12" width="11" customWidth="1"/>
  </cols>
  <sheetData>
    <row r="1" spans="1:12" x14ac:dyDescent="0.3">
      <c r="A1" s="2" t="s">
        <v>69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117</v>
      </c>
    </row>
    <row r="2" spans="1:12" x14ac:dyDescent="0.3">
      <c r="A2">
        <v>1</v>
      </c>
      <c r="B2" s="1">
        <v>42901</v>
      </c>
      <c r="C2" t="s">
        <v>80</v>
      </c>
      <c r="D2" t="s">
        <v>81</v>
      </c>
      <c r="E2" t="s">
        <v>82</v>
      </c>
      <c r="F2">
        <v>53.2</v>
      </c>
      <c r="G2">
        <v>58.1</v>
      </c>
      <c r="H2">
        <v>60.2</v>
      </c>
      <c r="I2">
        <v>9.1999999999999993</v>
      </c>
      <c r="J2">
        <v>13.2</v>
      </c>
      <c r="K2" t="s">
        <v>83</v>
      </c>
    </row>
    <row r="3" spans="1:12" x14ac:dyDescent="0.3">
      <c r="A3">
        <v>2</v>
      </c>
      <c r="B3" s="1">
        <v>43158</v>
      </c>
      <c r="C3" t="s">
        <v>84</v>
      </c>
      <c r="D3" t="s">
        <v>85</v>
      </c>
      <c r="E3" t="s">
        <v>82</v>
      </c>
      <c r="F3">
        <v>66.5</v>
      </c>
      <c r="G3">
        <v>69.3</v>
      </c>
      <c r="H3">
        <v>72.099999999999994</v>
      </c>
      <c r="I3">
        <v>4.2</v>
      </c>
      <c r="J3">
        <v>8.4</v>
      </c>
      <c r="K3" t="s">
        <v>83</v>
      </c>
    </row>
    <row r="4" spans="1:12" x14ac:dyDescent="0.3">
      <c r="A4">
        <v>3</v>
      </c>
      <c r="B4" s="1">
        <v>43781</v>
      </c>
      <c r="C4" t="s">
        <v>86</v>
      </c>
      <c r="D4" t="s">
        <v>87</v>
      </c>
      <c r="E4" t="s">
        <v>88</v>
      </c>
      <c r="F4">
        <v>90.3</v>
      </c>
      <c r="G4">
        <v>87.2</v>
      </c>
      <c r="H4">
        <v>93.4</v>
      </c>
      <c r="I4">
        <v>-3.4</v>
      </c>
      <c r="J4">
        <v>3.4</v>
      </c>
      <c r="K4" t="s">
        <v>89</v>
      </c>
    </row>
    <row r="5" spans="1:12" x14ac:dyDescent="0.3">
      <c r="A5">
        <v>4</v>
      </c>
      <c r="B5" s="1">
        <v>44005</v>
      </c>
      <c r="C5" t="s">
        <v>90</v>
      </c>
      <c r="D5" t="s">
        <v>81</v>
      </c>
      <c r="E5" t="s">
        <v>91</v>
      </c>
      <c r="F5">
        <v>98.3</v>
      </c>
      <c r="G5">
        <v>110.2</v>
      </c>
      <c r="H5">
        <v>119.4</v>
      </c>
      <c r="I5">
        <v>12.1</v>
      </c>
      <c r="J5">
        <v>21.5</v>
      </c>
      <c r="K5" t="s">
        <v>83</v>
      </c>
    </row>
    <row r="6" spans="1:12" x14ac:dyDescent="0.3">
      <c r="A6">
        <v>5</v>
      </c>
      <c r="B6" s="1">
        <v>44518</v>
      </c>
      <c r="C6" t="s">
        <v>92</v>
      </c>
      <c r="D6" t="s">
        <v>93</v>
      </c>
      <c r="E6" t="s">
        <v>94</v>
      </c>
      <c r="F6">
        <v>177.5</v>
      </c>
      <c r="G6">
        <v>155.30000000000001</v>
      </c>
      <c r="H6">
        <v>134.19999999999999</v>
      </c>
      <c r="I6">
        <v>-12.5</v>
      </c>
      <c r="J6">
        <v>-24.4</v>
      </c>
      <c r="K6" t="s">
        <v>95</v>
      </c>
    </row>
    <row r="7" spans="1:12" x14ac:dyDescent="0.3">
      <c r="A7">
        <v>6</v>
      </c>
      <c r="B7" s="1">
        <v>44736</v>
      </c>
      <c r="C7" t="s">
        <v>96</v>
      </c>
      <c r="D7" t="s">
        <v>34</v>
      </c>
      <c r="E7" t="s">
        <v>97</v>
      </c>
      <c r="F7">
        <v>109.5</v>
      </c>
      <c r="G7">
        <v>97.3</v>
      </c>
      <c r="H7">
        <v>85.2</v>
      </c>
      <c r="I7">
        <v>-11.1</v>
      </c>
      <c r="J7">
        <v>-22.2</v>
      </c>
      <c r="K7" t="s">
        <v>98</v>
      </c>
    </row>
    <row r="8" spans="1:12" x14ac:dyDescent="0.3">
      <c r="A8">
        <v>7</v>
      </c>
      <c r="B8" s="1">
        <v>44911</v>
      </c>
      <c r="C8" t="s">
        <v>99</v>
      </c>
      <c r="D8" t="s">
        <v>34</v>
      </c>
      <c r="E8" t="s">
        <v>100</v>
      </c>
      <c r="F8">
        <v>110.2</v>
      </c>
      <c r="G8">
        <v>118.4</v>
      </c>
      <c r="H8">
        <v>122.3</v>
      </c>
      <c r="I8">
        <v>7.4</v>
      </c>
      <c r="J8">
        <v>11</v>
      </c>
      <c r="K8" t="s">
        <v>101</v>
      </c>
    </row>
    <row r="9" spans="1:12" x14ac:dyDescent="0.3">
      <c r="A9">
        <v>8</v>
      </c>
      <c r="B9" s="1">
        <v>45203</v>
      </c>
      <c r="C9" t="s">
        <v>102</v>
      </c>
      <c r="D9" t="s">
        <v>103</v>
      </c>
      <c r="E9" t="s">
        <v>85</v>
      </c>
      <c r="F9">
        <v>88.5</v>
      </c>
      <c r="G9">
        <v>100.2</v>
      </c>
      <c r="H9">
        <v>105.4</v>
      </c>
      <c r="I9">
        <v>13.2</v>
      </c>
      <c r="J9">
        <v>19.100000000000001</v>
      </c>
      <c r="K9" t="s">
        <v>83</v>
      </c>
    </row>
    <row r="10" spans="1:12" x14ac:dyDescent="0.3">
      <c r="A10">
        <v>9</v>
      </c>
      <c r="B10" s="1">
        <v>45471</v>
      </c>
      <c r="C10" t="s">
        <v>104</v>
      </c>
      <c r="D10" t="s">
        <v>34</v>
      </c>
      <c r="E10" t="s">
        <v>100</v>
      </c>
      <c r="F10">
        <v>75.3</v>
      </c>
      <c r="G10">
        <v>72.099999999999994</v>
      </c>
      <c r="H10">
        <v>70.2</v>
      </c>
      <c r="I10">
        <v>-4.3</v>
      </c>
      <c r="J10">
        <v>-6.8</v>
      </c>
      <c r="K10" t="s">
        <v>98</v>
      </c>
    </row>
    <row r="11" spans="1:12" x14ac:dyDescent="0.3">
      <c r="A11">
        <v>10</v>
      </c>
      <c r="B11" s="1">
        <v>45554</v>
      </c>
      <c r="C11" t="s">
        <v>105</v>
      </c>
      <c r="D11" t="s">
        <v>87</v>
      </c>
      <c r="E11" t="s">
        <v>103</v>
      </c>
      <c r="F11">
        <v>78.2</v>
      </c>
      <c r="G11">
        <v>90.4</v>
      </c>
      <c r="H11">
        <v>96.3</v>
      </c>
      <c r="I11">
        <v>15.6</v>
      </c>
      <c r="J11">
        <v>23.1</v>
      </c>
      <c r="K11" t="s">
        <v>83</v>
      </c>
    </row>
    <row r="12" spans="1:12" x14ac:dyDescent="0.3">
      <c r="A12">
        <v>11</v>
      </c>
      <c r="B12" s="1">
        <v>45566</v>
      </c>
      <c r="C12" t="s">
        <v>106</v>
      </c>
      <c r="D12" t="s">
        <v>107</v>
      </c>
      <c r="E12" t="s">
        <v>108</v>
      </c>
      <c r="F12">
        <v>92.1</v>
      </c>
      <c r="G12">
        <v>85.3</v>
      </c>
      <c r="H12">
        <v>80.2</v>
      </c>
      <c r="I12">
        <v>-7.4</v>
      </c>
      <c r="J12">
        <v>-13</v>
      </c>
      <c r="K12" t="s">
        <v>98</v>
      </c>
    </row>
    <row r="15" spans="1:12" ht="36.6" x14ac:dyDescent="0.7">
      <c r="A15" s="16" t="s">
        <v>109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</row>
    <row r="16" spans="1:12" x14ac:dyDescent="0.3">
      <c r="A16" s="2" t="s">
        <v>0</v>
      </c>
      <c r="B16" s="2" t="s">
        <v>110</v>
      </c>
      <c r="C16" s="2" t="s">
        <v>1</v>
      </c>
      <c r="D16" s="2" t="s">
        <v>111</v>
      </c>
      <c r="E16" s="2" t="s">
        <v>4</v>
      </c>
      <c r="F16" s="2" t="s">
        <v>5</v>
      </c>
      <c r="G16" s="2" t="s">
        <v>6</v>
      </c>
      <c r="H16" s="2" t="s">
        <v>7</v>
      </c>
      <c r="I16" s="2" t="s">
        <v>13</v>
      </c>
      <c r="J16" s="2" t="s">
        <v>14</v>
      </c>
      <c r="K16" s="2" t="s">
        <v>112</v>
      </c>
      <c r="L16" s="2" t="s">
        <v>117</v>
      </c>
    </row>
    <row r="17" spans="1:11" x14ac:dyDescent="0.3">
      <c r="A17">
        <v>2019</v>
      </c>
      <c r="B17" t="s">
        <v>113</v>
      </c>
      <c r="C17" s="1">
        <v>43343</v>
      </c>
      <c r="D17">
        <v>9949</v>
      </c>
      <c r="E17">
        <v>4371</v>
      </c>
      <c r="F17">
        <v>43.9</v>
      </c>
      <c r="G17">
        <v>1207</v>
      </c>
      <c r="H17">
        <v>12.1</v>
      </c>
      <c r="I17">
        <v>3062</v>
      </c>
      <c r="J17">
        <v>6887</v>
      </c>
      <c r="K17">
        <v>5007</v>
      </c>
    </row>
    <row r="18" spans="1:11" x14ac:dyDescent="0.3">
      <c r="A18">
        <v>2019</v>
      </c>
      <c r="B18" t="s">
        <v>114</v>
      </c>
      <c r="C18" s="1">
        <v>43434</v>
      </c>
      <c r="D18">
        <v>9374</v>
      </c>
      <c r="E18">
        <v>4105</v>
      </c>
      <c r="F18">
        <v>43.8</v>
      </c>
      <c r="G18">
        <v>849</v>
      </c>
      <c r="H18">
        <v>9.1</v>
      </c>
      <c r="I18">
        <v>2900</v>
      </c>
      <c r="J18">
        <v>6474</v>
      </c>
      <c r="K18">
        <v>5622</v>
      </c>
    </row>
    <row r="19" spans="1:11" x14ac:dyDescent="0.3">
      <c r="A19">
        <v>2019</v>
      </c>
      <c r="B19" t="s">
        <v>115</v>
      </c>
      <c r="C19" s="1">
        <v>43524</v>
      </c>
      <c r="D19">
        <v>9609</v>
      </c>
      <c r="E19">
        <v>4339</v>
      </c>
      <c r="F19">
        <v>45.2</v>
      </c>
      <c r="G19">
        <v>1263</v>
      </c>
      <c r="H19">
        <v>13.1</v>
      </c>
      <c r="I19">
        <v>2840</v>
      </c>
      <c r="J19">
        <v>6769</v>
      </c>
      <c r="K19">
        <v>5254</v>
      </c>
    </row>
    <row r="20" spans="1:11" x14ac:dyDescent="0.3">
      <c r="A20">
        <v>2019</v>
      </c>
      <c r="B20" t="s">
        <v>116</v>
      </c>
      <c r="C20" s="1">
        <v>43616</v>
      </c>
      <c r="D20">
        <v>10185</v>
      </c>
      <c r="E20">
        <v>4633</v>
      </c>
      <c r="F20">
        <v>45.5</v>
      </c>
      <c r="G20">
        <v>1453</v>
      </c>
      <c r="H20">
        <v>14.3</v>
      </c>
      <c r="I20">
        <v>3098</v>
      </c>
      <c r="J20">
        <v>7087</v>
      </c>
      <c r="K20">
        <v>5622</v>
      </c>
    </row>
    <row r="21" spans="1:11" x14ac:dyDescent="0.3">
      <c r="A21">
        <v>2020</v>
      </c>
      <c r="B21" t="s">
        <v>113</v>
      </c>
      <c r="C21" s="1">
        <v>43708</v>
      </c>
      <c r="D21">
        <v>10660</v>
      </c>
      <c r="E21">
        <v>4544</v>
      </c>
      <c r="F21">
        <v>42.6</v>
      </c>
      <c r="G21">
        <v>1374</v>
      </c>
      <c r="H21">
        <v>12.9</v>
      </c>
      <c r="I21">
        <v>3271</v>
      </c>
      <c r="J21">
        <v>7389</v>
      </c>
      <c r="K21">
        <v>5879</v>
      </c>
    </row>
    <row r="22" spans="1:11" x14ac:dyDescent="0.3">
      <c r="A22">
        <v>2020</v>
      </c>
      <c r="B22" t="s">
        <v>114</v>
      </c>
      <c r="C22" s="1">
        <v>43799</v>
      </c>
      <c r="D22">
        <v>10330</v>
      </c>
      <c r="E22">
        <v>4847</v>
      </c>
      <c r="F22">
        <v>46.9</v>
      </c>
      <c r="G22">
        <v>1330</v>
      </c>
      <c r="H22">
        <v>12.9</v>
      </c>
      <c r="I22">
        <v>3163</v>
      </c>
      <c r="J22">
        <v>7167</v>
      </c>
      <c r="K22">
        <v>5724</v>
      </c>
    </row>
    <row r="23" spans="1:11" x14ac:dyDescent="0.3">
      <c r="A23">
        <v>2020</v>
      </c>
      <c r="B23" t="s">
        <v>115</v>
      </c>
      <c r="C23" s="1">
        <v>43890</v>
      </c>
      <c r="D23">
        <v>10100</v>
      </c>
      <c r="E23">
        <v>4473</v>
      </c>
      <c r="F23">
        <v>44.3</v>
      </c>
      <c r="G23">
        <v>1003</v>
      </c>
      <c r="H23">
        <v>9.9</v>
      </c>
      <c r="I23">
        <v>2960</v>
      </c>
      <c r="J23">
        <v>7140</v>
      </c>
      <c r="K23">
        <v>6498</v>
      </c>
    </row>
    <row r="24" spans="1:11" x14ac:dyDescent="0.3">
      <c r="A24">
        <v>2020</v>
      </c>
      <c r="B24" t="s">
        <v>116</v>
      </c>
      <c r="C24" s="1">
        <v>43982</v>
      </c>
      <c r="D24">
        <v>6313</v>
      </c>
      <c r="E24">
        <v>2353</v>
      </c>
      <c r="F24">
        <v>37.299999999999997</v>
      </c>
      <c r="G24">
        <v>-790</v>
      </c>
      <c r="H24">
        <v>-12.5</v>
      </c>
      <c r="I24">
        <v>3006</v>
      </c>
      <c r="J24">
        <v>3307</v>
      </c>
      <c r="K24">
        <v>7520</v>
      </c>
    </row>
    <row r="25" spans="1:11" x14ac:dyDescent="0.3">
      <c r="A25">
        <v>2021</v>
      </c>
      <c r="B25" t="s">
        <v>113</v>
      </c>
      <c r="C25" s="1">
        <v>44074</v>
      </c>
      <c r="D25">
        <v>10590</v>
      </c>
      <c r="E25">
        <v>4741</v>
      </c>
      <c r="F25">
        <v>44.8</v>
      </c>
      <c r="G25">
        <v>1503</v>
      </c>
      <c r="H25">
        <v>14.2</v>
      </c>
      <c r="I25">
        <v>3558</v>
      </c>
      <c r="J25">
        <v>7032</v>
      </c>
      <c r="K25">
        <v>7488</v>
      </c>
    </row>
    <row r="26" spans="1:11" x14ac:dyDescent="0.3">
      <c r="A26">
        <v>2021</v>
      </c>
      <c r="B26" t="s">
        <v>114</v>
      </c>
      <c r="C26" s="1">
        <v>44165</v>
      </c>
      <c r="D26">
        <v>11240</v>
      </c>
      <c r="E26">
        <v>4847</v>
      </c>
      <c r="F26">
        <v>43.1</v>
      </c>
      <c r="G26">
        <v>1503</v>
      </c>
      <c r="H26">
        <v>13.4</v>
      </c>
      <c r="I26">
        <v>3980</v>
      </c>
      <c r="J26">
        <v>7260</v>
      </c>
      <c r="K26">
        <v>6705</v>
      </c>
    </row>
    <row r="27" spans="1:11" x14ac:dyDescent="0.3">
      <c r="A27">
        <v>2021</v>
      </c>
      <c r="B27" t="s">
        <v>115</v>
      </c>
      <c r="C27" s="1">
        <v>44255</v>
      </c>
      <c r="D27">
        <v>10357</v>
      </c>
      <c r="E27">
        <v>4719</v>
      </c>
      <c r="F27">
        <v>45.6</v>
      </c>
      <c r="G27">
        <v>1449</v>
      </c>
      <c r="H27">
        <v>14</v>
      </c>
      <c r="I27">
        <v>3597</v>
      </c>
      <c r="J27">
        <v>6760</v>
      </c>
      <c r="K27">
        <v>6854</v>
      </c>
    </row>
    <row r="28" spans="1:11" x14ac:dyDescent="0.3">
      <c r="A28">
        <v>2021</v>
      </c>
      <c r="B28" t="s">
        <v>116</v>
      </c>
      <c r="C28" s="1">
        <v>44347</v>
      </c>
      <c r="D28">
        <v>12344</v>
      </c>
      <c r="E28">
        <v>5655</v>
      </c>
      <c r="F28">
        <v>45.8</v>
      </c>
      <c r="G28">
        <v>2487</v>
      </c>
      <c r="H28">
        <v>20.100000000000001</v>
      </c>
      <c r="I28">
        <v>5265</v>
      </c>
      <c r="J28">
        <v>7079</v>
      </c>
      <c r="K28">
        <v>6854</v>
      </c>
    </row>
    <row r="29" spans="1:11" x14ac:dyDescent="0.3">
      <c r="A29">
        <v>2022</v>
      </c>
      <c r="B29" t="s">
        <v>113</v>
      </c>
      <c r="C29" s="1">
        <v>44439</v>
      </c>
      <c r="D29">
        <v>12248</v>
      </c>
      <c r="E29">
        <v>5696</v>
      </c>
      <c r="F29">
        <v>46.5</v>
      </c>
      <c r="G29">
        <v>1988</v>
      </c>
      <c r="H29">
        <v>16.2</v>
      </c>
      <c r="I29">
        <v>4647</v>
      </c>
      <c r="J29">
        <v>7601</v>
      </c>
      <c r="K29">
        <v>6669</v>
      </c>
    </row>
    <row r="30" spans="1:11" x14ac:dyDescent="0.3">
      <c r="A30">
        <v>2022</v>
      </c>
      <c r="B30" t="s">
        <v>114</v>
      </c>
      <c r="C30" s="1">
        <v>44530</v>
      </c>
      <c r="D30">
        <v>11356</v>
      </c>
      <c r="E30">
        <v>5213</v>
      </c>
      <c r="F30">
        <v>45.9</v>
      </c>
      <c r="G30">
        <v>1667</v>
      </c>
      <c r="H30">
        <v>14.7</v>
      </c>
      <c r="I30">
        <v>4501</v>
      </c>
      <c r="J30">
        <v>6855</v>
      </c>
      <c r="K30">
        <v>6313</v>
      </c>
    </row>
    <row r="31" spans="1:11" x14ac:dyDescent="0.3">
      <c r="A31">
        <v>2022</v>
      </c>
      <c r="B31" t="s">
        <v>115</v>
      </c>
      <c r="C31" s="1">
        <v>44620</v>
      </c>
      <c r="D31">
        <v>10870</v>
      </c>
      <c r="E31">
        <v>5067</v>
      </c>
      <c r="F31">
        <v>46.6</v>
      </c>
      <c r="G31">
        <v>1297</v>
      </c>
      <c r="H31">
        <v>11.9</v>
      </c>
      <c r="I31">
        <v>4250</v>
      </c>
      <c r="J31">
        <v>6620</v>
      </c>
      <c r="K31">
        <v>7727</v>
      </c>
    </row>
    <row r="32" spans="1:11" x14ac:dyDescent="0.3">
      <c r="A32">
        <v>2022</v>
      </c>
      <c r="B32" t="s">
        <v>116</v>
      </c>
      <c r="C32" s="1">
        <v>44712</v>
      </c>
      <c r="D32">
        <v>12234</v>
      </c>
      <c r="E32">
        <v>5503</v>
      </c>
      <c r="F32">
        <v>45</v>
      </c>
      <c r="G32">
        <v>1728</v>
      </c>
      <c r="H32">
        <v>14.1</v>
      </c>
      <c r="I32">
        <v>5328</v>
      </c>
      <c r="J32">
        <v>6906</v>
      </c>
      <c r="K32">
        <v>9731</v>
      </c>
    </row>
    <row r="33" spans="1:12" x14ac:dyDescent="0.3">
      <c r="A33">
        <v>2023</v>
      </c>
      <c r="B33" t="s">
        <v>113</v>
      </c>
      <c r="C33" s="1">
        <v>44804</v>
      </c>
      <c r="D33">
        <v>12687</v>
      </c>
      <c r="E33">
        <v>5720</v>
      </c>
      <c r="F33">
        <v>45.1</v>
      </c>
      <c r="G33">
        <v>1477</v>
      </c>
      <c r="H33">
        <v>11.6</v>
      </c>
      <c r="I33">
        <v>5440</v>
      </c>
      <c r="J33">
        <v>7247</v>
      </c>
      <c r="K33">
        <v>9653</v>
      </c>
    </row>
    <row r="34" spans="1:12" x14ac:dyDescent="0.3">
      <c r="A34">
        <v>2023</v>
      </c>
      <c r="B34" t="s">
        <v>114</v>
      </c>
      <c r="C34" s="1">
        <v>44895</v>
      </c>
      <c r="D34">
        <v>13315</v>
      </c>
      <c r="E34">
        <v>5971</v>
      </c>
      <c r="F34">
        <v>44.8</v>
      </c>
      <c r="G34">
        <v>1687</v>
      </c>
      <c r="H34">
        <v>12.7</v>
      </c>
      <c r="I34">
        <v>5834</v>
      </c>
      <c r="J34">
        <v>7481</v>
      </c>
      <c r="K34">
        <v>9001</v>
      </c>
    </row>
    <row r="35" spans="1:12" x14ac:dyDescent="0.3">
      <c r="A35">
        <v>2023</v>
      </c>
      <c r="B35" t="s">
        <v>115</v>
      </c>
      <c r="C35" s="1">
        <v>44985</v>
      </c>
      <c r="D35">
        <v>12393</v>
      </c>
      <c r="E35">
        <v>5371</v>
      </c>
      <c r="F35">
        <v>43.3</v>
      </c>
      <c r="G35">
        <v>1346</v>
      </c>
      <c r="H35">
        <v>10.9</v>
      </c>
      <c r="I35">
        <v>5300</v>
      </c>
      <c r="J35">
        <v>7093</v>
      </c>
      <c r="K35">
        <v>8900</v>
      </c>
    </row>
    <row r="36" spans="1:12" x14ac:dyDescent="0.3">
      <c r="A36">
        <v>2023</v>
      </c>
      <c r="B36" t="s">
        <v>116</v>
      </c>
      <c r="C36" s="1">
        <v>45077</v>
      </c>
      <c r="D36">
        <v>12822</v>
      </c>
      <c r="E36">
        <v>5595</v>
      </c>
      <c r="F36">
        <v>43.6</v>
      </c>
      <c r="G36">
        <v>1411</v>
      </c>
      <c r="H36">
        <v>11</v>
      </c>
      <c r="I36">
        <v>5734</v>
      </c>
      <c r="J36">
        <v>7088</v>
      </c>
      <c r="K36">
        <v>8453</v>
      </c>
    </row>
    <row r="37" spans="1:12" x14ac:dyDescent="0.3">
      <c r="A37">
        <v>2024</v>
      </c>
      <c r="B37" t="s">
        <v>113</v>
      </c>
      <c r="C37" s="1">
        <v>45169</v>
      </c>
      <c r="D37">
        <v>12940</v>
      </c>
      <c r="E37">
        <v>5720</v>
      </c>
      <c r="F37">
        <v>44.2</v>
      </c>
      <c r="G37">
        <v>1351</v>
      </c>
      <c r="H37">
        <v>10.4</v>
      </c>
      <c r="I37">
        <v>5615</v>
      </c>
      <c r="J37">
        <v>7325</v>
      </c>
      <c r="K37">
        <v>8700</v>
      </c>
    </row>
    <row r="38" spans="1:12" x14ac:dyDescent="0.3">
      <c r="A38">
        <v>2024</v>
      </c>
      <c r="B38" t="s">
        <v>114</v>
      </c>
      <c r="C38" s="1">
        <v>45260</v>
      </c>
      <c r="D38">
        <v>13388</v>
      </c>
      <c r="E38">
        <v>5971</v>
      </c>
      <c r="F38">
        <v>44.6</v>
      </c>
      <c r="G38">
        <v>1758</v>
      </c>
      <c r="H38">
        <v>13.1</v>
      </c>
      <c r="I38">
        <v>5979</v>
      </c>
      <c r="J38">
        <v>7409</v>
      </c>
      <c r="K38">
        <v>8000</v>
      </c>
    </row>
    <row r="39" spans="1:12" x14ac:dyDescent="0.3">
      <c r="A39">
        <v>2024</v>
      </c>
      <c r="B39" t="s">
        <v>115</v>
      </c>
      <c r="C39" s="1">
        <v>45351</v>
      </c>
      <c r="D39">
        <v>12429</v>
      </c>
      <c r="E39">
        <v>5562</v>
      </c>
      <c r="F39">
        <v>44.7</v>
      </c>
      <c r="G39">
        <v>1323</v>
      </c>
      <c r="H39">
        <v>10.6</v>
      </c>
      <c r="I39">
        <v>5558</v>
      </c>
      <c r="J39">
        <v>6871</v>
      </c>
      <c r="K39">
        <v>7745</v>
      </c>
    </row>
    <row r="40" spans="1:12" x14ac:dyDescent="0.3">
      <c r="A40">
        <v>2024</v>
      </c>
      <c r="B40" t="s">
        <v>116</v>
      </c>
      <c r="C40" s="1">
        <v>45443</v>
      </c>
      <c r="D40">
        <v>12614</v>
      </c>
      <c r="E40">
        <v>5634</v>
      </c>
      <c r="F40">
        <v>44.7</v>
      </c>
      <c r="G40">
        <v>1885</v>
      </c>
      <c r="H40">
        <v>14.9</v>
      </c>
      <c r="I40">
        <v>6367</v>
      </c>
      <c r="J40">
        <v>6153</v>
      </c>
      <c r="K40">
        <v>7519</v>
      </c>
    </row>
    <row r="43" spans="1:12" ht="36.6" x14ac:dyDescent="0.7">
      <c r="A43" s="16" t="s">
        <v>142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x14ac:dyDescent="0.3">
      <c r="A44" t="s">
        <v>0</v>
      </c>
      <c r="B44" t="s">
        <v>121</v>
      </c>
      <c r="C44" t="s">
        <v>122</v>
      </c>
      <c r="D44" t="s">
        <v>123</v>
      </c>
      <c r="E44" t="s">
        <v>124</v>
      </c>
      <c r="F44" t="s">
        <v>125</v>
      </c>
      <c r="G44" t="s">
        <v>126</v>
      </c>
      <c r="H44" t="s">
        <v>127</v>
      </c>
      <c r="I44" t="s">
        <v>128</v>
      </c>
      <c r="J44" t="s">
        <v>129</v>
      </c>
      <c r="K44" t="s">
        <v>117</v>
      </c>
      <c r="L44" t="s">
        <v>118</v>
      </c>
    </row>
    <row r="45" spans="1:12" x14ac:dyDescent="0.3">
      <c r="A45">
        <v>2017</v>
      </c>
      <c r="B45">
        <v>34350</v>
      </c>
      <c r="C45">
        <v>13.83</v>
      </c>
      <c r="D45">
        <v>34350</v>
      </c>
      <c r="E45">
        <v>13.83</v>
      </c>
      <c r="F45">
        <v>34350</v>
      </c>
      <c r="G45">
        <v>13.83</v>
      </c>
      <c r="H45">
        <v>34350</v>
      </c>
      <c r="I45">
        <v>13.83</v>
      </c>
      <c r="J45" t="s">
        <v>130</v>
      </c>
    </row>
    <row r="46" spans="1:12" x14ac:dyDescent="0.3">
      <c r="A46">
        <v>2018</v>
      </c>
      <c r="B46">
        <v>36397</v>
      </c>
      <c r="C46">
        <v>12.21</v>
      </c>
      <c r="D46">
        <v>37100</v>
      </c>
      <c r="E46">
        <v>13.5</v>
      </c>
      <c r="F46">
        <v>36397</v>
      </c>
      <c r="G46">
        <v>12.21</v>
      </c>
      <c r="H46">
        <v>36397</v>
      </c>
      <c r="I46">
        <v>12.21</v>
      </c>
      <c r="J46" t="s">
        <v>131</v>
      </c>
    </row>
    <row r="47" spans="1:12" x14ac:dyDescent="0.3">
      <c r="A47">
        <v>2019</v>
      </c>
      <c r="B47">
        <v>39117</v>
      </c>
      <c r="C47">
        <v>12.2</v>
      </c>
      <c r="D47">
        <v>41000</v>
      </c>
      <c r="E47">
        <v>13.8</v>
      </c>
      <c r="F47">
        <v>39117</v>
      </c>
      <c r="G47">
        <v>12.2</v>
      </c>
      <c r="H47">
        <v>39117</v>
      </c>
      <c r="I47">
        <v>12.2</v>
      </c>
      <c r="J47" t="s">
        <v>132</v>
      </c>
    </row>
    <row r="48" spans="1:12" x14ac:dyDescent="0.3">
      <c r="A48">
        <v>2020</v>
      </c>
      <c r="B48">
        <v>37403</v>
      </c>
      <c r="C48">
        <v>8.33</v>
      </c>
      <c r="D48">
        <v>39500</v>
      </c>
      <c r="E48">
        <v>11.5</v>
      </c>
      <c r="F48">
        <v>37403</v>
      </c>
      <c r="G48">
        <v>8.33</v>
      </c>
      <c r="H48">
        <v>37403</v>
      </c>
      <c r="I48">
        <v>8.33</v>
      </c>
      <c r="J48" t="s">
        <v>133</v>
      </c>
    </row>
    <row r="49" spans="1:10" x14ac:dyDescent="0.3">
      <c r="A49">
        <v>2021</v>
      </c>
      <c r="B49">
        <v>44538</v>
      </c>
      <c r="C49">
        <v>15.58</v>
      </c>
      <c r="D49">
        <v>46000</v>
      </c>
      <c r="E49">
        <v>15.2</v>
      </c>
      <c r="F49">
        <v>44538</v>
      </c>
      <c r="G49">
        <v>15.58</v>
      </c>
      <c r="H49">
        <v>44538</v>
      </c>
      <c r="I49">
        <v>15.58</v>
      </c>
      <c r="J49" t="s">
        <v>134</v>
      </c>
    </row>
    <row r="50" spans="1:10" x14ac:dyDescent="0.3">
      <c r="A50">
        <v>2022</v>
      </c>
      <c r="B50">
        <v>46710</v>
      </c>
      <c r="C50">
        <v>14.29</v>
      </c>
      <c r="D50">
        <v>50500</v>
      </c>
      <c r="E50">
        <v>14.8</v>
      </c>
      <c r="F50">
        <v>46710</v>
      </c>
      <c r="G50">
        <v>14.29</v>
      </c>
      <c r="H50">
        <v>46710</v>
      </c>
      <c r="I50">
        <v>14.29</v>
      </c>
      <c r="J50" t="s">
        <v>135</v>
      </c>
    </row>
    <row r="51" spans="1:10" x14ac:dyDescent="0.3">
      <c r="A51">
        <v>2023</v>
      </c>
      <c r="B51">
        <v>51217</v>
      </c>
      <c r="C51">
        <v>11.55</v>
      </c>
      <c r="D51">
        <v>54000</v>
      </c>
      <c r="E51">
        <v>13.4</v>
      </c>
      <c r="F51">
        <v>51217</v>
      </c>
      <c r="G51">
        <v>11.55</v>
      </c>
      <c r="H51">
        <v>52000</v>
      </c>
      <c r="I51">
        <v>12.5</v>
      </c>
      <c r="J51" t="s">
        <v>136</v>
      </c>
    </row>
    <row r="52" spans="1:10" x14ac:dyDescent="0.3">
      <c r="A52">
        <v>2024</v>
      </c>
      <c r="B52">
        <v>51362</v>
      </c>
      <c r="C52">
        <v>12.29</v>
      </c>
      <c r="D52">
        <v>57000</v>
      </c>
      <c r="E52">
        <v>14.2</v>
      </c>
      <c r="F52">
        <v>51362</v>
      </c>
      <c r="G52">
        <v>12.29</v>
      </c>
      <c r="H52">
        <v>54000</v>
      </c>
      <c r="I52">
        <v>13.1</v>
      </c>
      <c r="J52" t="s">
        <v>137</v>
      </c>
    </row>
    <row r="53" spans="1:10" x14ac:dyDescent="0.3">
      <c r="A53">
        <v>2025</v>
      </c>
      <c r="B53">
        <v>47818</v>
      </c>
      <c r="C53">
        <v>10.3</v>
      </c>
      <c r="D53">
        <v>59500</v>
      </c>
      <c r="E53">
        <v>14.8</v>
      </c>
      <c r="F53">
        <v>47818</v>
      </c>
      <c r="G53">
        <v>10.3</v>
      </c>
      <c r="H53">
        <v>56000</v>
      </c>
      <c r="I53">
        <v>13.8</v>
      </c>
      <c r="J53" t="s">
        <v>138</v>
      </c>
    </row>
    <row r="54" spans="1:10" x14ac:dyDescent="0.3">
      <c r="A54">
        <v>2026</v>
      </c>
      <c r="B54">
        <v>46398</v>
      </c>
      <c r="C54">
        <v>7.99</v>
      </c>
      <c r="D54">
        <v>62000</v>
      </c>
      <c r="E54">
        <v>15.2</v>
      </c>
      <c r="F54">
        <v>48000</v>
      </c>
      <c r="G54">
        <v>10.5</v>
      </c>
      <c r="H54">
        <v>58500</v>
      </c>
      <c r="I54">
        <v>14</v>
      </c>
      <c r="J54" t="s">
        <v>139</v>
      </c>
    </row>
    <row r="55" spans="1:10" x14ac:dyDescent="0.3">
      <c r="A55">
        <v>2027</v>
      </c>
      <c r="B55" t="s">
        <v>140</v>
      </c>
      <c r="C55" t="s">
        <v>140</v>
      </c>
      <c r="D55">
        <v>65000</v>
      </c>
      <c r="E55">
        <v>15.8</v>
      </c>
      <c r="F55">
        <v>50000</v>
      </c>
      <c r="G55">
        <v>11.2</v>
      </c>
      <c r="H55">
        <v>61000</v>
      </c>
      <c r="I55">
        <v>14.5</v>
      </c>
      <c r="J55" t="s">
        <v>141</v>
      </c>
    </row>
  </sheetData>
  <mergeCells count="2">
    <mergeCell ref="A15:L15"/>
    <mergeCell ref="A43:L43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E693A-A5C1-4FBE-B0D2-4527478F93E5}">
  <sheetPr codeName="Sheet5"/>
  <dimension ref="A1:O26"/>
  <sheetViews>
    <sheetView zoomScale="76" workbookViewId="0">
      <selection activeCell="M29" sqref="M29"/>
    </sheetView>
  </sheetViews>
  <sheetFormatPr defaultRowHeight="14.4" x14ac:dyDescent="0.3"/>
  <cols>
    <col min="1" max="1" width="15.33203125" customWidth="1"/>
    <col min="2" max="2" width="19.109375" customWidth="1"/>
    <col min="3" max="3" width="29.21875" customWidth="1"/>
    <col min="4" max="4" width="28.88671875" customWidth="1"/>
    <col min="5" max="5" width="24.33203125" customWidth="1"/>
    <col min="6" max="6" width="25.77734375" customWidth="1"/>
    <col min="7" max="7" width="23.21875" customWidth="1"/>
    <col min="8" max="8" width="33.109375" customWidth="1"/>
    <col min="9" max="9" width="18.109375" customWidth="1"/>
    <col min="10" max="10" width="28.88671875" customWidth="1"/>
    <col min="11" max="11" width="30.109375" customWidth="1"/>
    <col min="12" max="12" width="22.21875" customWidth="1"/>
    <col min="13" max="13" width="17.6640625" customWidth="1"/>
    <col min="14" max="14" width="21.33203125" customWidth="1"/>
    <col min="15" max="15" width="25.77734375" customWidth="1"/>
  </cols>
  <sheetData>
    <row r="1" spans="1:15" s="5" customFormat="1" x14ac:dyDescent="0.3">
      <c r="A1" s="5" t="s">
        <v>0</v>
      </c>
      <c r="B1" s="5" t="s">
        <v>2</v>
      </c>
      <c r="C1" s="5" t="s">
        <v>143</v>
      </c>
      <c r="D1" s="5" t="s">
        <v>14</v>
      </c>
      <c r="E1" s="5" t="s">
        <v>144</v>
      </c>
      <c r="F1" s="5" t="s">
        <v>17</v>
      </c>
      <c r="G1" s="5" t="s">
        <v>145</v>
      </c>
      <c r="H1" s="5" t="s">
        <v>146</v>
      </c>
      <c r="I1" s="5" t="s">
        <v>5</v>
      </c>
      <c r="J1" s="5" t="s">
        <v>7</v>
      </c>
      <c r="K1" s="5" t="s">
        <v>11</v>
      </c>
      <c r="L1" s="5" t="s">
        <v>147</v>
      </c>
      <c r="M1" s="5" t="s">
        <v>148</v>
      </c>
      <c r="N1" s="5" t="s">
        <v>149</v>
      </c>
      <c r="O1" s="5" t="s">
        <v>150</v>
      </c>
    </row>
    <row r="2" spans="1:15" x14ac:dyDescent="0.3">
      <c r="A2" cm="1">
        <f t="array" ref="A2:A11">tbl_Channel[Fiscal_Year]</f>
        <v>2015</v>
      </c>
      <c r="B2" cm="1">
        <f t="array" ref="B2:B11">tbl_Channel[Total_Nike_Brand_Revenue_M]</f>
        <v>29500</v>
      </c>
      <c r="C2" cm="1">
        <f t="array" ref="C2:C11">tbl_Channel[Nike_Direct_Revenue_M]</f>
        <v>8100</v>
      </c>
      <c r="D2" cm="1">
        <f t="array" ref="D2:D11">tbl_Channel[Wholesale_Revenue_M]</f>
        <v>21400</v>
      </c>
      <c r="E2" cm="1">
        <f t="array" ref="E2:E11">tbl_Channel[Nike_Direct_Share_Pct]</f>
        <v>27.5</v>
      </c>
      <c r="F2" cm="1">
        <f t="array" ref="F2:F11">tbl_Channel[Wholesale_Share_Pct]</f>
        <v>72.5</v>
      </c>
      <c r="G2" t="e">
        <f>NA()</f>
        <v>#N/A</v>
      </c>
      <c r="H2" t="e">
        <f>NA()</f>
        <v>#N/A</v>
      </c>
      <c r="I2" cm="1">
        <f t="array" ref="I2:I11">tbl_Financial[Gross_Margin_Pct]</f>
        <v>45.97</v>
      </c>
      <c r="J2" cm="1">
        <f t="array" ref="J2:J11">tbl_Financial[Operating_Margin_Pct]</f>
        <v>13.64</v>
      </c>
      <c r="K2" cm="1">
        <f t="array" ref="K2:K11">tbl_Financial[SGA_Pct_Revenue]</f>
        <v>28.64</v>
      </c>
      <c r="L2" t="str" cm="1">
        <f t="array" ref="L2:L11">tbl_Channel[CDO_Phase]</f>
        <v>Pre-CDO</v>
      </c>
      <c r="M2" t="e">
        <f>NA()</f>
        <v>#N/A</v>
      </c>
      <c r="N2" t="e">
        <f>NA()</f>
        <v>#N/A</v>
      </c>
      <c r="O2" t="e">
        <f>NA()</f>
        <v>#N/A</v>
      </c>
    </row>
    <row r="3" spans="1:15" x14ac:dyDescent="0.3">
      <c r="A3">
        <v>2016</v>
      </c>
      <c r="B3">
        <v>32014</v>
      </c>
      <c r="C3">
        <v>9000</v>
      </c>
      <c r="D3">
        <v>23014</v>
      </c>
      <c r="E3">
        <v>28.1</v>
      </c>
      <c r="F3">
        <v>71.900000000000006</v>
      </c>
      <c r="G3">
        <f>ROUND(((C3-C2)/C2)*100,2)</f>
        <v>11.11</v>
      </c>
      <c r="H3">
        <f>ROUND(((D3-D2)/D2)*100,2)</f>
        <v>7.54</v>
      </c>
      <c r="I3">
        <v>46.24</v>
      </c>
      <c r="J3">
        <v>13.91</v>
      </c>
      <c r="K3">
        <v>30.55</v>
      </c>
      <c r="L3" t="str">
        <v>Pre-CDO</v>
      </c>
      <c r="M3">
        <f>ROUND((J3-J2)*100,1)</f>
        <v>27</v>
      </c>
      <c r="N3" t="e">
        <f>NA()</f>
        <v>#N/A</v>
      </c>
      <c r="O3" t="e">
        <f>NA()</f>
        <v>#N/A</v>
      </c>
    </row>
    <row r="4" spans="1:15" x14ac:dyDescent="0.3">
      <c r="A4">
        <v>2017</v>
      </c>
      <c r="B4">
        <v>33990</v>
      </c>
      <c r="C4">
        <v>11000</v>
      </c>
      <c r="D4">
        <v>22990</v>
      </c>
      <c r="E4">
        <v>32.4</v>
      </c>
      <c r="F4">
        <v>67.599999999999994</v>
      </c>
      <c r="G4">
        <f t="shared" ref="G4:G11" si="0">ROUND(((C4-C3)/C3)*100,2)</f>
        <v>22.22</v>
      </c>
      <c r="H4">
        <f t="shared" ref="H4:H11" si="1">ROUND(((D4-D3)/D3)*100,2)</f>
        <v>-0.1</v>
      </c>
      <c r="I4">
        <v>44.58</v>
      </c>
      <c r="J4">
        <v>13.83</v>
      </c>
      <c r="K4">
        <v>30.75</v>
      </c>
      <c r="L4" t="str">
        <v>CDO Launch</v>
      </c>
      <c r="M4">
        <f t="shared" ref="M4:M11" si="2">ROUND((J4-J3)*100,1)</f>
        <v>-8</v>
      </c>
      <c r="N4">
        <f>100</f>
        <v>100</v>
      </c>
      <c r="O4">
        <v>100</v>
      </c>
    </row>
    <row r="5" spans="1:15" x14ac:dyDescent="0.3">
      <c r="A5">
        <v>2018</v>
      </c>
      <c r="B5">
        <v>35750</v>
      </c>
      <c r="C5">
        <v>12400</v>
      </c>
      <c r="D5">
        <v>23350</v>
      </c>
      <c r="E5">
        <v>34.700000000000003</v>
      </c>
      <c r="F5">
        <v>65.3</v>
      </c>
      <c r="G5">
        <f t="shared" si="0"/>
        <v>12.73</v>
      </c>
      <c r="H5">
        <f t="shared" si="1"/>
        <v>1.57</v>
      </c>
      <c r="I5">
        <v>43.84</v>
      </c>
      <c r="J5">
        <v>12.21</v>
      </c>
      <c r="K5">
        <v>30.12</v>
      </c>
      <c r="L5" t="str">
        <v>CDO Acceleration</v>
      </c>
      <c r="M5">
        <f t="shared" si="2"/>
        <v>-162</v>
      </c>
      <c r="N5">
        <f>ROUND((C5/C$4)*100,1)</f>
        <v>112.7</v>
      </c>
      <c r="O5">
        <f>ROUND((D5/D$4)*100,1)</f>
        <v>101.6</v>
      </c>
    </row>
    <row r="6" spans="1:15" x14ac:dyDescent="0.3">
      <c r="A6">
        <v>2019</v>
      </c>
      <c r="B6">
        <v>38985</v>
      </c>
      <c r="C6">
        <v>11800</v>
      </c>
      <c r="D6">
        <v>27185</v>
      </c>
      <c r="E6">
        <v>30.3</v>
      </c>
      <c r="F6">
        <v>69.7</v>
      </c>
      <c r="G6">
        <f t="shared" si="0"/>
        <v>-4.84</v>
      </c>
      <c r="H6">
        <f t="shared" si="1"/>
        <v>16.420000000000002</v>
      </c>
      <c r="I6">
        <v>44.67</v>
      </c>
      <c r="J6">
        <v>12.2</v>
      </c>
      <c r="K6">
        <v>29.49</v>
      </c>
      <c r="L6" t="str">
        <v>CDO Acceleration</v>
      </c>
      <c r="M6">
        <f t="shared" si="2"/>
        <v>-1</v>
      </c>
      <c r="N6">
        <f t="shared" ref="N6:N11" si="3">ROUND((C6/C$4)*100,1)</f>
        <v>107.3</v>
      </c>
      <c r="O6">
        <f t="shared" ref="O6:O11" si="4">ROUND((D6/D$4)*100,1)</f>
        <v>118.2</v>
      </c>
    </row>
    <row r="7" spans="1:15" x14ac:dyDescent="0.3">
      <c r="A7">
        <v>2020</v>
      </c>
      <c r="B7">
        <v>37403</v>
      </c>
      <c r="C7">
        <v>12400</v>
      </c>
      <c r="D7">
        <v>25003</v>
      </c>
      <c r="E7">
        <v>33.200000000000003</v>
      </c>
      <c r="F7">
        <v>66.8</v>
      </c>
      <c r="G7">
        <f t="shared" si="0"/>
        <v>5.08</v>
      </c>
      <c r="H7">
        <f t="shared" si="1"/>
        <v>-8.0299999999999994</v>
      </c>
      <c r="I7">
        <v>43.42</v>
      </c>
      <c r="J7">
        <v>8.33</v>
      </c>
      <c r="K7">
        <v>31.38</v>
      </c>
      <c r="L7" t="str">
        <v>CDO + COVID</v>
      </c>
      <c r="M7">
        <f t="shared" si="2"/>
        <v>-387</v>
      </c>
      <c r="N7">
        <f t="shared" si="3"/>
        <v>112.7</v>
      </c>
      <c r="O7">
        <f t="shared" si="4"/>
        <v>108.8</v>
      </c>
    </row>
    <row r="8" spans="1:15" x14ac:dyDescent="0.3">
      <c r="A8">
        <v>2021</v>
      </c>
      <c r="B8">
        <v>44436</v>
      </c>
      <c r="C8">
        <v>16400</v>
      </c>
      <c r="D8">
        <v>28036</v>
      </c>
      <c r="E8">
        <v>36.9</v>
      </c>
      <c r="F8">
        <v>63.1</v>
      </c>
      <c r="G8">
        <f t="shared" si="0"/>
        <v>32.26</v>
      </c>
      <c r="H8">
        <f t="shared" si="1"/>
        <v>12.13</v>
      </c>
      <c r="I8">
        <v>44.82</v>
      </c>
      <c r="J8">
        <v>15.58</v>
      </c>
      <c r="K8">
        <v>29.29</v>
      </c>
      <c r="L8" t="str">
        <v>CDA Launch</v>
      </c>
      <c r="M8">
        <f t="shared" si="2"/>
        <v>725</v>
      </c>
      <c r="N8">
        <f t="shared" si="3"/>
        <v>149.1</v>
      </c>
      <c r="O8">
        <f t="shared" si="4"/>
        <v>121.9</v>
      </c>
    </row>
    <row r="9" spans="1:15" x14ac:dyDescent="0.3">
      <c r="A9">
        <v>2022</v>
      </c>
      <c r="B9">
        <v>44436</v>
      </c>
      <c r="C9">
        <v>18726</v>
      </c>
      <c r="D9">
        <v>25608</v>
      </c>
      <c r="E9">
        <v>42.1</v>
      </c>
      <c r="F9">
        <v>57.9</v>
      </c>
      <c r="G9">
        <f t="shared" si="0"/>
        <v>14.18</v>
      </c>
      <c r="H9">
        <f t="shared" si="1"/>
        <v>-8.66</v>
      </c>
      <c r="I9">
        <v>45.98</v>
      </c>
      <c r="J9">
        <v>14.29</v>
      </c>
      <c r="K9">
        <v>31.69</v>
      </c>
      <c r="L9" t="str">
        <v>CDA Peak</v>
      </c>
      <c r="M9">
        <f t="shared" si="2"/>
        <v>-129</v>
      </c>
      <c r="N9">
        <f t="shared" si="3"/>
        <v>170.2</v>
      </c>
      <c r="O9">
        <f t="shared" si="4"/>
        <v>111.4</v>
      </c>
    </row>
    <row r="10" spans="1:15" x14ac:dyDescent="0.3">
      <c r="A10">
        <v>2023</v>
      </c>
      <c r="B10">
        <v>48763</v>
      </c>
      <c r="C10">
        <v>21308</v>
      </c>
      <c r="D10">
        <v>27397</v>
      </c>
      <c r="E10">
        <v>43.7</v>
      </c>
      <c r="F10">
        <v>56.2</v>
      </c>
      <c r="G10">
        <f t="shared" si="0"/>
        <v>13.79</v>
      </c>
      <c r="H10">
        <f t="shared" si="1"/>
        <v>6.99</v>
      </c>
      <c r="I10">
        <v>43.52</v>
      </c>
      <c r="J10">
        <v>11.55</v>
      </c>
      <c r="K10">
        <v>31.98</v>
      </c>
      <c r="L10" t="str">
        <v>Crisis</v>
      </c>
      <c r="M10">
        <f t="shared" si="2"/>
        <v>-274</v>
      </c>
      <c r="N10">
        <f t="shared" si="3"/>
        <v>193.7</v>
      </c>
      <c r="O10">
        <f t="shared" si="4"/>
        <v>119.2</v>
      </c>
    </row>
    <row r="11" spans="1:15" x14ac:dyDescent="0.3">
      <c r="A11">
        <v>2024</v>
      </c>
      <c r="B11">
        <v>49322</v>
      </c>
      <c r="C11">
        <v>21519</v>
      </c>
      <c r="D11">
        <v>27758</v>
      </c>
      <c r="E11">
        <v>43.6</v>
      </c>
      <c r="F11">
        <v>56.3</v>
      </c>
      <c r="G11">
        <f t="shared" si="0"/>
        <v>0.99</v>
      </c>
      <c r="H11">
        <f t="shared" si="1"/>
        <v>1.32</v>
      </c>
      <c r="I11">
        <v>44.56</v>
      </c>
      <c r="J11">
        <v>12.29</v>
      </c>
      <c r="K11">
        <v>32.270000000000003</v>
      </c>
      <c r="L11" t="str">
        <v>Reckoning</v>
      </c>
      <c r="M11">
        <f t="shared" si="2"/>
        <v>74</v>
      </c>
      <c r="N11">
        <f t="shared" si="3"/>
        <v>195.6</v>
      </c>
      <c r="O11">
        <f t="shared" si="4"/>
        <v>120.7</v>
      </c>
    </row>
    <row r="14" spans="1:15" ht="36.6" x14ac:dyDescent="0.7">
      <c r="A14" s="16" t="s">
        <v>142</v>
      </c>
      <c r="B14" s="10"/>
      <c r="C14" s="10"/>
      <c r="D14" s="10"/>
      <c r="E14" s="10"/>
      <c r="F14" s="10"/>
      <c r="G14" s="10"/>
      <c r="H14" s="10"/>
      <c r="I14" s="4"/>
      <c r="J14" s="4"/>
      <c r="K14" s="4"/>
      <c r="L14" s="4"/>
      <c r="M14" s="4"/>
      <c r="N14" s="4"/>
      <c r="O14" s="4"/>
    </row>
    <row r="15" spans="1:15" x14ac:dyDescent="0.3">
      <c r="A15" t="s">
        <v>0</v>
      </c>
      <c r="B15" t="s">
        <v>121</v>
      </c>
      <c r="C15" t="s">
        <v>123</v>
      </c>
      <c r="D15" t="s">
        <v>127</v>
      </c>
      <c r="E15" t="s">
        <v>122</v>
      </c>
      <c r="F15" t="s">
        <v>124</v>
      </c>
      <c r="G15" t="s">
        <v>128</v>
      </c>
      <c r="H15" t="s">
        <v>151</v>
      </c>
    </row>
    <row r="16" spans="1:15" x14ac:dyDescent="0.3">
      <c r="B16">
        <v>34350</v>
      </c>
      <c r="C16">
        <v>34350</v>
      </c>
      <c r="H16">
        <f>C16-B16</f>
        <v>0</v>
      </c>
    </row>
    <row r="17" spans="2:8" x14ac:dyDescent="0.3">
      <c r="B17">
        <v>36397</v>
      </c>
      <c r="C17">
        <v>37100</v>
      </c>
      <c r="H17">
        <f t="shared" ref="H17:H26" si="5">C17-B17</f>
        <v>703</v>
      </c>
    </row>
    <row r="18" spans="2:8" x14ac:dyDescent="0.3">
      <c r="B18">
        <v>39117</v>
      </c>
      <c r="C18">
        <v>41000</v>
      </c>
      <c r="H18">
        <f t="shared" si="5"/>
        <v>1883</v>
      </c>
    </row>
    <row r="19" spans="2:8" x14ac:dyDescent="0.3">
      <c r="B19">
        <v>37403</v>
      </c>
      <c r="C19">
        <v>39500</v>
      </c>
      <c r="H19">
        <f t="shared" si="5"/>
        <v>2097</v>
      </c>
    </row>
    <row r="20" spans="2:8" x14ac:dyDescent="0.3">
      <c r="B20">
        <v>44538</v>
      </c>
      <c r="C20">
        <v>46000</v>
      </c>
      <c r="H20">
        <f t="shared" si="5"/>
        <v>1462</v>
      </c>
    </row>
    <row r="21" spans="2:8" x14ac:dyDescent="0.3">
      <c r="B21">
        <v>46710</v>
      </c>
      <c r="C21">
        <v>50500</v>
      </c>
      <c r="H21">
        <f t="shared" si="5"/>
        <v>3790</v>
      </c>
    </row>
    <row r="22" spans="2:8" x14ac:dyDescent="0.3">
      <c r="B22">
        <v>51217</v>
      </c>
      <c r="C22">
        <v>54000</v>
      </c>
      <c r="H22">
        <f t="shared" si="5"/>
        <v>2783</v>
      </c>
    </row>
    <row r="23" spans="2:8" x14ac:dyDescent="0.3">
      <c r="B23">
        <v>51362</v>
      </c>
      <c r="C23">
        <v>57000</v>
      </c>
      <c r="H23">
        <f t="shared" si="5"/>
        <v>5638</v>
      </c>
    </row>
    <row r="24" spans="2:8" x14ac:dyDescent="0.3">
      <c r="B24">
        <v>47818</v>
      </c>
      <c r="C24">
        <v>59500</v>
      </c>
      <c r="H24">
        <f t="shared" si="5"/>
        <v>11682</v>
      </c>
    </row>
    <row r="25" spans="2:8" x14ac:dyDescent="0.3">
      <c r="B25">
        <v>46398</v>
      </c>
      <c r="C25">
        <v>62000</v>
      </c>
      <c r="H25">
        <f t="shared" si="5"/>
        <v>15602</v>
      </c>
    </row>
    <row r="26" spans="2:8" x14ac:dyDescent="0.3">
      <c r="B26" t="s">
        <v>140</v>
      </c>
      <c r="C26">
        <v>65000</v>
      </c>
      <c r="H26" t="e">
        <f t="shared" si="5"/>
        <v>#VALUE!</v>
      </c>
    </row>
  </sheetData>
  <mergeCells count="1">
    <mergeCell ref="A14:H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A55C9-EE43-4BAF-A829-0F28A6A2FD93}">
  <sheetPr codeName="Sheet6"/>
  <dimension ref="A1:P29"/>
  <sheetViews>
    <sheetView zoomScale="67" zoomScaleNormal="67" workbookViewId="0">
      <selection activeCell="E9" sqref="E9"/>
    </sheetView>
  </sheetViews>
  <sheetFormatPr defaultRowHeight="14.4" x14ac:dyDescent="0.3"/>
  <cols>
    <col min="1" max="1" width="29.109375" customWidth="1"/>
    <col min="2" max="2" width="27.5546875" customWidth="1"/>
    <col min="3" max="3" width="25.88671875" customWidth="1"/>
    <col min="4" max="4" width="26.44140625" customWidth="1"/>
    <col min="5" max="5" width="27.88671875" customWidth="1"/>
    <col min="6" max="6" width="20.6640625" customWidth="1"/>
    <col min="7" max="7" width="28.21875" customWidth="1"/>
    <col min="8" max="8" width="21.6640625" customWidth="1"/>
    <col min="9" max="9" width="13.6640625" customWidth="1"/>
    <col min="10" max="10" width="18" customWidth="1"/>
    <col min="11" max="11" width="12" customWidth="1"/>
    <col min="12" max="12" width="18.5546875" customWidth="1"/>
    <col min="13" max="13" width="41.109375" customWidth="1"/>
    <col min="16" max="16" width="14" customWidth="1"/>
  </cols>
  <sheetData>
    <row r="1" spans="1:16" s="5" customFormat="1" x14ac:dyDescent="0.3">
      <c r="A1" s="5" t="s">
        <v>50</v>
      </c>
      <c r="B1" s="5" t="s">
        <v>59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56</v>
      </c>
      <c r="I1" s="5" t="s">
        <v>57</v>
      </c>
      <c r="J1" s="5" t="s">
        <v>58</v>
      </c>
      <c r="K1" s="5" t="s">
        <v>152</v>
      </c>
      <c r="L1" s="5" t="s">
        <v>153</v>
      </c>
      <c r="M1" s="5" t="s">
        <v>154</v>
      </c>
      <c r="P1" s="5" t="s">
        <v>155</v>
      </c>
    </row>
    <row r="2" spans="1:16" x14ac:dyDescent="0.3">
      <c r="A2" t="str" cm="1">
        <f t="array" ref="A2:A8">tbl_Market1[Channel]</f>
        <v>Nike Direct - Digital</v>
      </c>
      <c r="B2" t="str" cm="1">
        <f t="array" ref="B2:B8">tbl_Market1[Segment_Type]</f>
        <v>D2C</v>
      </c>
      <c r="C2" s="6" cm="1">
        <f t="array" ref="C2:C8">tbl_Market1[Avg_Order_Value_USD]</f>
        <v>92</v>
      </c>
      <c r="D2" cm="1">
        <f t="array" ref="D2:D8">tbl_Market1[Purchase_Frequency_Per_Year]</f>
        <v>2.4</v>
      </c>
      <c r="E2" cm="1">
        <f t="array" ref="E2:E8">tbl_Market1[Avg_Customer_Lifespan_Years]</f>
        <v>2.8</v>
      </c>
      <c r="F2" s="6" cm="1">
        <f t="array" ref="F2:F8">tbl_Market1[Est_Gross_Margin_Pct]</f>
        <v>47</v>
      </c>
      <c r="G2" s="6" cm="1">
        <f t="array" ref="G2:G8">tbl_Market1[Customer_Acquisition_Cost_USD]</f>
        <v>45</v>
      </c>
      <c r="H2" s="6" cm="1">
        <f t="array" ref="H2:H8">tbl_Market1[Estimated_CLV_USD]</f>
        <v>290.57</v>
      </c>
      <c r="I2" cm="1">
        <f t="array" ref="I2:I8">tbl_Market1[LTV_CAC_Ratio]</f>
        <v>6.46</v>
      </c>
      <c r="J2" s="6" cm="1">
        <f t="array" ref="J2:J8">tbl_Market1[Retention_Rate_Pct]</f>
        <v>58</v>
      </c>
      <c r="K2" t="str">
        <f>IF(H2&gt;=500,"High Value",IF(H2&gt;=200,"Mid Value","Low Value"))</f>
        <v>Mid Value</v>
      </c>
      <c r="L2">
        <f>ROUND(H2/G2,2)</f>
        <v>6.46</v>
      </c>
      <c r="M2" s="6">
        <f>ROUND(H2-$P$2,2)</f>
        <v>27.58</v>
      </c>
      <c r="P2">
        <f>AVERAGEIF(B2:B7,"D2C",H2:H7)</f>
        <v>262.995</v>
      </c>
    </row>
    <row r="3" spans="1:16" x14ac:dyDescent="0.3">
      <c r="A3" t="str">
        <v>Nike Direct - Owned Stores</v>
      </c>
      <c r="B3" t="str">
        <v>D2C</v>
      </c>
      <c r="C3" s="6">
        <v>88</v>
      </c>
      <c r="D3">
        <v>1.9</v>
      </c>
      <c r="E3">
        <v>3.2</v>
      </c>
      <c r="F3" s="6">
        <v>44</v>
      </c>
      <c r="G3" s="6">
        <v>38</v>
      </c>
      <c r="H3" s="6">
        <v>235.42</v>
      </c>
      <c r="I3">
        <v>6.2</v>
      </c>
      <c r="J3" s="6">
        <v>62</v>
      </c>
      <c r="K3" t="str">
        <f t="shared" ref="K3:K7" si="0">IF(H3&gt;=500,"High Value",IF(H3&gt;=200,"Mid Value","Low Value"))</f>
        <v>Mid Value</v>
      </c>
      <c r="L3">
        <f t="shared" ref="L3:L7" si="1">ROUND(H3/G3,2)</f>
        <v>6.2</v>
      </c>
      <c r="M3" s="6">
        <f t="shared" ref="M3:M7" si="2">ROUND(H3-$P$2,2)</f>
        <v>-27.58</v>
      </c>
      <c r="P3">
        <f t="shared" ref="P3:P7" si="3">AVERAGEIF(B3:B8,"D2C",H3:H8)</f>
        <v>235.42</v>
      </c>
    </row>
    <row r="4" spans="1:16" x14ac:dyDescent="0.3">
      <c r="A4" t="str">
        <v>Nike SNKRS App Sneakerhead</v>
      </c>
      <c r="B4" t="str">
        <v>D2C Premium</v>
      </c>
      <c r="C4" s="6">
        <v>165</v>
      </c>
      <c r="D4">
        <v>3.1</v>
      </c>
      <c r="E4">
        <v>4.5</v>
      </c>
      <c r="F4" s="6">
        <v>51</v>
      </c>
      <c r="G4" s="6">
        <v>28</v>
      </c>
      <c r="H4" s="6">
        <v>1173.8900000000001</v>
      </c>
      <c r="I4">
        <v>41.92</v>
      </c>
      <c r="J4" s="6">
        <v>71</v>
      </c>
      <c r="K4" t="str">
        <f t="shared" si="0"/>
        <v>High Value</v>
      </c>
      <c r="L4">
        <f t="shared" si="1"/>
        <v>41.92</v>
      </c>
      <c r="M4" s="6">
        <f t="shared" si="2"/>
        <v>910.9</v>
      </c>
      <c r="P4" t="e">
        <f t="shared" si="3"/>
        <v>#DIV/0!</v>
      </c>
    </row>
    <row r="5" spans="1:16" x14ac:dyDescent="0.3">
      <c r="A5" t="str">
        <v>Wholesale - Foot Locker</v>
      </c>
      <c r="B5" t="str">
        <v>Wholesale</v>
      </c>
      <c r="C5" s="6">
        <v>72</v>
      </c>
      <c r="D5">
        <v>1.4</v>
      </c>
      <c r="E5">
        <v>5.0999999999999996</v>
      </c>
      <c r="F5" s="6">
        <v>38</v>
      </c>
      <c r="G5" s="6">
        <v>8</v>
      </c>
      <c r="H5" s="6">
        <v>195.35</v>
      </c>
      <c r="I5">
        <v>24.42</v>
      </c>
      <c r="J5" s="6">
        <v>74</v>
      </c>
      <c r="K5" t="str">
        <f t="shared" si="0"/>
        <v>Low Value</v>
      </c>
      <c r="L5">
        <f t="shared" si="1"/>
        <v>24.42</v>
      </c>
      <c r="M5" s="6">
        <f t="shared" si="2"/>
        <v>-67.650000000000006</v>
      </c>
      <c r="P5" t="e">
        <f t="shared" si="3"/>
        <v>#DIV/0!</v>
      </c>
    </row>
    <row r="6" spans="1:16" x14ac:dyDescent="0.3">
      <c r="A6" t="str">
        <v>Wholesale - Sporting Goods</v>
      </c>
      <c r="B6" t="str">
        <v>Wholesale</v>
      </c>
      <c r="C6" s="6">
        <v>68</v>
      </c>
      <c r="D6">
        <v>1.6</v>
      </c>
      <c r="E6">
        <v>4.8</v>
      </c>
      <c r="F6" s="6">
        <v>37</v>
      </c>
      <c r="G6" s="6">
        <v>6</v>
      </c>
      <c r="H6" s="6">
        <v>193.23</v>
      </c>
      <c r="I6">
        <v>32.200000000000003</v>
      </c>
      <c r="J6" s="6">
        <v>72</v>
      </c>
      <c r="K6" t="str">
        <f t="shared" si="0"/>
        <v>Low Value</v>
      </c>
      <c r="L6">
        <f t="shared" si="1"/>
        <v>32.21</v>
      </c>
      <c r="M6" s="6">
        <f t="shared" si="2"/>
        <v>-69.77</v>
      </c>
      <c r="P6" t="e">
        <f t="shared" si="3"/>
        <v>#DIV/0!</v>
      </c>
    </row>
    <row r="7" spans="1:16" x14ac:dyDescent="0.3">
      <c r="A7" t="str">
        <v>Wholesale - Department Store</v>
      </c>
      <c r="B7" t="str">
        <v>Wholesale</v>
      </c>
      <c r="C7" s="6">
        <v>61</v>
      </c>
      <c r="D7">
        <v>1.2</v>
      </c>
      <c r="E7">
        <v>4.2</v>
      </c>
      <c r="F7" s="6">
        <v>35</v>
      </c>
      <c r="G7" s="6">
        <v>4</v>
      </c>
      <c r="H7" s="6">
        <v>107.6</v>
      </c>
      <c r="I7">
        <v>26.9</v>
      </c>
      <c r="J7" s="6">
        <v>68</v>
      </c>
      <c r="K7" t="str">
        <f t="shared" si="0"/>
        <v>Low Value</v>
      </c>
      <c r="L7">
        <f t="shared" si="1"/>
        <v>26.9</v>
      </c>
      <c r="M7" s="6">
        <f t="shared" si="2"/>
        <v>-155.4</v>
      </c>
      <c r="P7" t="e">
        <f t="shared" si="3"/>
        <v>#DIV/0!</v>
      </c>
    </row>
    <row r="8" spans="1:16" x14ac:dyDescent="0.3">
      <c r="A8">
        <v>0</v>
      </c>
      <c r="B8">
        <v>0</v>
      </c>
      <c r="C8">
        <v>0</v>
      </c>
      <c r="D8">
        <v>0</v>
      </c>
      <c r="E8">
        <v>0</v>
      </c>
      <c r="F8" s="6">
        <v>0</v>
      </c>
      <c r="G8" s="6">
        <v>0</v>
      </c>
      <c r="H8" s="6">
        <v>0</v>
      </c>
      <c r="I8">
        <v>0</v>
      </c>
      <c r="J8">
        <v>0</v>
      </c>
    </row>
    <row r="11" spans="1:16" ht="36.6" x14ac:dyDescent="0.7">
      <c r="A11" s="16" t="s">
        <v>156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3" spans="1:16" x14ac:dyDescent="0.3">
      <c r="B13" t="s">
        <v>157</v>
      </c>
      <c r="C13" t="s">
        <v>158</v>
      </c>
      <c r="D13" t="s">
        <v>159</v>
      </c>
      <c r="E13" t="s">
        <v>160</v>
      </c>
      <c r="F13" t="s">
        <v>161</v>
      </c>
    </row>
    <row r="14" spans="1:16" x14ac:dyDescent="0.3">
      <c r="A14" t="s">
        <v>162</v>
      </c>
      <c r="B14">
        <f>ROUND(($C$2*(1+(-0.2+(ROW()-14)*0.1)))*($D$2*(1+(-0.2+(COLUMN()-2)*0.1)))*$E$2*($F$2/100),2)</f>
        <v>185.97</v>
      </c>
      <c r="C14">
        <f t="shared" ref="C14:F18" si="4">ROUND(($C$2*(1+(-0.2+(ROW()-14)*0.1)))*($D$2*(1+(-0.2+(COLUMN()-2)*0.1)))*$E$2*($F$2/100),2)</f>
        <v>209.21</v>
      </c>
      <c r="D14">
        <f t="shared" si="4"/>
        <v>232.46</v>
      </c>
      <c r="E14">
        <f t="shared" si="4"/>
        <v>255.7</v>
      </c>
      <c r="F14">
        <f t="shared" si="4"/>
        <v>278.95</v>
      </c>
    </row>
    <row r="15" spans="1:16" x14ac:dyDescent="0.3">
      <c r="A15" t="s">
        <v>163</v>
      </c>
      <c r="B15">
        <f t="shared" ref="B15:B18" si="5">ROUND(($C$2*(1+(-0.2+(ROW()-14)*0.1)))*($D$2*(1+(-0.2+(COLUMN()-2)*0.1)))*$E$2*($F$2/100),2)</f>
        <v>209.21</v>
      </c>
      <c r="C15">
        <f t="shared" si="4"/>
        <v>235.36</v>
      </c>
      <c r="D15">
        <f t="shared" si="4"/>
        <v>261.52</v>
      </c>
      <c r="E15">
        <f t="shared" si="4"/>
        <v>287.67</v>
      </c>
      <c r="F15">
        <f t="shared" si="4"/>
        <v>313.82</v>
      </c>
    </row>
    <row r="16" spans="1:16" x14ac:dyDescent="0.3">
      <c r="A16" t="s">
        <v>164</v>
      </c>
      <c r="B16">
        <f t="shared" si="5"/>
        <v>232.46</v>
      </c>
      <c r="C16">
        <f t="shared" si="4"/>
        <v>261.52</v>
      </c>
      <c r="D16">
        <f t="shared" si="4"/>
        <v>290.57</v>
      </c>
      <c r="E16">
        <f t="shared" si="4"/>
        <v>319.63</v>
      </c>
      <c r="F16">
        <f t="shared" si="4"/>
        <v>348.69</v>
      </c>
    </row>
    <row r="17" spans="1:12" x14ac:dyDescent="0.3">
      <c r="A17" t="s">
        <v>165</v>
      </c>
      <c r="B17">
        <f t="shared" si="5"/>
        <v>255.7</v>
      </c>
      <c r="C17">
        <f t="shared" si="4"/>
        <v>287.67</v>
      </c>
      <c r="D17">
        <f t="shared" si="4"/>
        <v>319.63</v>
      </c>
      <c r="E17">
        <f t="shared" si="4"/>
        <v>351.59</v>
      </c>
      <c r="F17">
        <f t="shared" si="4"/>
        <v>383.56</v>
      </c>
    </row>
    <row r="18" spans="1:12" x14ac:dyDescent="0.3">
      <c r="A18" t="s">
        <v>166</v>
      </c>
      <c r="B18">
        <f t="shared" si="5"/>
        <v>278.95</v>
      </c>
      <c r="C18">
        <f t="shared" si="4"/>
        <v>313.82</v>
      </c>
      <c r="D18">
        <f t="shared" si="4"/>
        <v>348.69</v>
      </c>
      <c r="E18">
        <f t="shared" si="4"/>
        <v>383.56</v>
      </c>
      <c r="F18">
        <f t="shared" si="4"/>
        <v>418.42</v>
      </c>
    </row>
    <row r="20" spans="1:12" ht="36.6" x14ac:dyDescent="0.7">
      <c r="A20" s="16" t="s">
        <v>167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2" x14ac:dyDescent="0.3">
      <c r="A21" s="3" t="s">
        <v>168</v>
      </c>
      <c r="B21" t="s">
        <v>169</v>
      </c>
    </row>
    <row r="22" spans="1:12" x14ac:dyDescent="0.3">
      <c r="A22" s="3" t="s">
        <v>170</v>
      </c>
      <c r="B22" t="str">
        <f>INDEX(A2:A7,MATCH(MAX(I2:I7),I2:I7,0))</f>
        <v>Nike SNKRS App Sneakerhead</v>
      </c>
    </row>
    <row r="23" spans="1:12" x14ac:dyDescent="0.3">
      <c r="A23" s="3" t="s">
        <v>171</v>
      </c>
      <c r="B23" t="str">
        <f>INDEX(A2:A7,MATCH(MIN(I2:I7),I2:I7,0))</f>
        <v>Nike Direct - Owned Stores</v>
      </c>
    </row>
    <row r="24" spans="1:12" x14ac:dyDescent="0.3">
      <c r="A24" s="3" t="s">
        <v>172</v>
      </c>
      <c r="B24">
        <f>P2</f>
        <v>262.995</v>
      </c>
    </row>
    <row r="25" spans="1:12" x14ac:dyDescent="0.3">
      <c r="A25" s="3" t="s">
        <v>173</v>
      </c>
      <c r="B25">
        <f>AVERAGEIF(B2:B7,"Wholesale",H2:H7)</f>
        <v>165.39333333333332</v>
      </c>
    </row>
    <row r="26" spans="1:12" x14ac:dyDescent="0.3">
      <c r="A26" s="3" t="s">
        <v>174</v>
      </c>
      <c r="B26">
        <f>B24-B25</f>
        <v>97.601666666666688</v>
      </c>
    </row>
    <row r="27" spans="1:12" x14ac:dyDescent="0.3">
      <c r="A27" s="3" t="s">
        <v>175</v>
      </c>
      <c r="B27">
        <f>AVERAGEIF(B2:B7,"D2C",G2:G7)</f>
        <v>41.5</v>
      </c>
    </row>
    <row r="28" spans="1:12" x14ac:dyDescent="0.3">
      <c r="A28" s="3" t="s">
        <v>176</v>
      </c>
      <c r="B28">
        <f>AVERAGEIF(B2:B7,"Wholesale",G2:G7)</f>
        <v>6</v>
      </c>
    </row>
    <row r="29" spans="1:12" x14ac:dyDescent="0.3">
      <c r="A29" s="3" t="s">
        <v>177</v>
      </c>
      <c r="B29">
        <f>B27-B28</f>
        <v>35.5</v>
      </c>
    </row>
  </sheetData>
  <mergeCells count="2">
    <mergeCell ref="A11:M11"/>
    <mergeCell ref="A20:L20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B250-B7BB-4214-9661-C9CC1F47409C}">
  <sheetPr codeName="Sheet7"/>
  <dimension ref="A1:N24"/>
  <sheetViews>
    <sheetView topLeftCell="H1" workbookViewId="0">
      <selection activeCell="Q5" sqref="Q5"/>
    </sheetView>
  </sheetViews>
  <sheetFormatPr defaultRowHeight="14.4" x14ac:dyDescent="0.3"/>
  <cols>
    <col min="1" max="1" width="29.44140625" customWidth="1"/>
    <col min="2" max="2" width="16.88671875" customWidth="1"/>
    <col min="3" max="3" width="47.88671875" customWidth="1"/>
    <col min="4" max="4" width="15.6640625" customWidth="1"/>
    <col min="5" max="5" width="18.109375" customWidth="1"/>
    <col min="6" max="6" width="17.5546875" customWidth="1"/>
    <col min="7" max="7" width="20.77734375" customWidth="1"/>
    <col min="8" max="8" width="18" customWidth="1"/>
    <col min="9" max="9" width="14.77734375" customWidth="1"/>
    <col min="10" max="10" width="17.21875" customWidth="1"/>
    <col min="11" max="11" width="15.21875" customWidth="1"/>
    <col min="12" max="12" width="14.6640625" customWidth="1"/>
    <col min="13" max="13" width="21.6640625" customWidth="1"/>
    <col min="14" max="14" width="18.33203125" customWidth="1"/>
  </cols>
  <sheetData>
    <row r="1" spans="1:14" s="5" customFormat="1" x14ac:dyDescent="0.3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  <c r="F1" s="5" t="s">
        <v>178</v>
      </c>
      <c r="G1" s="5" t="s">
        <v>179</v>
      </c>
      <c r="H1" s="5" t="s">
        <v>180</v>
      </c>
      <c r="I1" s="5" t="s">
        <v>77</v>
      </c>
      <c r="J1" s="5" t="s">
        <v>78</v>
      </c>
      <c r="K1" s="5" t="s">
        <v>79</v>
      </c>
      <c r="L1" s="5" t="s">
        <v>181</v>
      </c>
      <c r="M1" s="5" t="s">
        <v>182</v>
      </c>
      <c r="N1" s="5" t="s">
        <v>183</v>
      </c>
    </row>
    <row r="2" spans="1:14" x14ac:dyDescent="0.3">
      <c r="A2">
        <f>RAW_Stock_Events!A2</f>
        <v>1</v>
      </c>
      <c r="B2" s="1">
        <f>RAW_Stock_Events!B2</f>
        <v>42901</v>
      </c>
      <c r="C2" t="str">
        <f>RAW_Stock_Events!C2</f>
        <v>Consumer Direct Offense Announced</v>
      </c>
      <c r="D2" t="str">
        <f>RAW_Stock_Events!D2</f>
        <v>Strategy</v>
      </c>
      <c r="E2" t="str">
        <f>RAW_Stock_Events!E2</f>
        <v>Offensive</v>
      </c>
      <c r="F2">
        <f>RAW_Stock_Events!F2</f>
        <v>53.2</v>
      </c>
      <c r="G2">
        <f>RAW_Stock_Events!G2</f>
        <v>58.1</v>
      </c>
      <c r="H2">
        <f>RAW_Stock_Events!H2</f>
        <v>60.2</v>
      </c>
      <c r="I2">
        <f>RAW_Stock_Events!I2</f>
        <v>9.1999999999999993</v>
      </c>
      <c r="J2">
        <f>RAW_Stock_Events!J2</f>
        <v>13.2</v>
      </c>
      <c r="K2" t="str">
        <f>RAW_Stock_Events!K2</f>
        <v>Positive</v>
      </c>
      <c r="L2">
        <f>IF(K2="Positive",1,IF(K2="Negative",-1,IF(K2="Mixed",0,0)))</f>
        <v>1</v>
      </c>
      <c r="M2">
        <f>I2</f>
        <v>9.1999999999999993</v>
      </c>
      <c r="N2" t="str">
        <f>IF(ABS(I2)&gt;=10,"MAJOR MOVER",IF(ABS(I2)&gt;=5,"SIGNIFICANT","MINOR"))</f>
        <v>SIGNIFICANT</v>
      </c>
    </row>
    <row r="3" spans="1:14" x14ac:dyDescent="0.3">
      <c r="A3">
        <f>RAW_Stock_Events!A3</f>
        <v>2</v>
      </c>
      <c r="B3" s="1">
        <f>RAW_Stock_Events!B3</f>
        <v>43158</v>
      </c>
      <c r="C3" t="str">
        <f>RAW_Stock_Events!C3</f>
        <v>Partnership with Amazon Confirmed</v>
      </c>
      <c r="D3" t="str">
        <f>RAW_Stock_Events!D3</f>
        <v>Partnership</v>
      </c>
      <c r="E3" t="str">
        <f>RAW_Stock_Events!E3</f>
        <v>Offensive</v>
      </c>
      <c r="F3">
        <f>RAW_Stock_Events!F3</f>
        <v>66.5</v>
      </c>
      <c r="G3">
        <f>RAW_Stock_Events!G3</f>
        <v>69.3</v>
      </c>
      <c r="H3">
        <f>RAW_Stock_Events!H3</f>
        <v>72.099999999999994</v>
      </c>
      <c r="I3">
        <f>RAW_Stock_Events!I3</f>
        <v>4.2</v>
      </c>
      <c r="J3">
        <f>RAW_Stock_Events!J3</f>
        <v>8.4</v>
      </c>
      <c r="K3" t="str">
        <f>RAW_Stock_Events!K3</f>
        <v>Positive</v>
      </c>
      <c r="L3">
        <f t="shared" ref="L3:L12" si="0">IF(K3="Positive",1,IF(K3="Negative",-1,IF(K3="Mixed",0,0)))</f>
        <v>1</v>
      </c>
      <c r="M3">
        <f>M2+I3</f>
        <v>13.399999999999999</v>
      </c>
      <c r="N3" t="str">
        <f t="shared" ref="N3:N12" si="1">IF(ABS(I3)&gt;=10,"MAJOR MOVER",IF(ABS(I3)&gt;=5,"SIGNIFICANT","MINOR"))</f>
        <v>MINOR</v>
      </c>
    </row>
    <row r="4" spans="1:14" x14ac:dyDescent="0.3">
      <c r="A4">
        <f>RAW_Stock_Events!A4</f>
        <v>3</v>
      </c>
      <c r="B4" s="1">
        <f>RAW_Stock_Events!B4</f>
        <v>43781</v>
      </c>
      <c r="C4" t="str">
        <f>RAW_Stock_Events!C4</f>
        <v>Mark Parker Steps Down - Donahoe Named CEO</v>
      </c>
      <c r="D4" t="str">
        <f>RAW_Stock_Events!D4</f>
        <v>Leadership</v>
      </c>
      <c r="E4" t="str">
        <f>RAW_Stock_Events!E4</f>
        <v>Transition</v>
      </c>
      <c r="F4">
        <f>RAW_Stock_Events!F4</f>
        <v>90.3</v>
      </c>
      <c r="G4">
        <f>RAW_Stock_Events!G4</f>
        <v>87.2</v>
      </c>
      <c r="H4">
        <f>RAW_Stock_Events!H4</f>
        <v>93.4</v>
      </c>
      <c r="I4">
        <f>RAW_Stock_Events!I4</f>
        <v>-3.4</v>
      </c>
      <c r="J4">
        <f>RAW_Stock_Events!J4</f>
        <v>3.4</v>
      </c>
      <c r="K4" t="str">
        <f>RAW_Stock_Events!K4</f>
        <v>Neutral</v>
      </c>
      <c r="L4">
        <f t="shared" si="0"/>
        <v>0</v>
      </c>
      <c r="M4">
        <f t="shared" ref="M4:M12" si="2">M3+I4</f>
        <v>9.9999999999999982</v>
      </c>
      <c r="N4" t="str">
        <f t="shared" si="1"/>
        <v>MINOR</v>
      </c>
    </row>
    <row r="5" spans="1:14" x14ac:dyDescent="0.3">
      <c r="A5">
        <f>RAW_Stock_Events!A5</f>
        <v>4</v>
      </c>
      <c r="B5" s="1">
        <f>RAW_Stock_Events!B5</f>
        <v>44005</v>
      </c>
      <c r="C5" t="str">
        <f>RAW_Stock_Events!C5</f>
        <v>Consumer Direct Acceleration Announced</v>
      </c>
      <c r="D5" t="str">
        <f>RAW_Stock_Events!D5</f>
        <v>Strategy</v>
      </c>
      <c r="E5" t="str">
        <f>RAW_Stock_Events!E5</f>
        <v>Acceleration</v>
      </c>
      <c r="F5">
        <f>RAW_Stock_Events!F5</f>
        <v>98.3</v>
      </c>
      <c r="G5">
        <f>RAW_Stock_Events!G5</f>
        <v>110.2</v>
      </c>
      <c r="H5">
        <f>RAW_Stock_Events!H5</f>
        <v>119.4</v>
      </c>
      <c r="I5">
        <f>RAW_Stock_Events!I5</f>
        <v>12.1</v>
      </c>
      <c r="J5">
        <f>RAW_Stock_Events!J5</f>
        <v>21.5</v>
      </c>
      <c r="K5" t="str">
        <f>RAW_Stock_Events!K5</f>
        <v>Positive</v>
      </c>
      <c r="L5">
        <f t="shared" si="0"/>
        <v>1</v>
      </c>
      <c r="M5">
        <f t="shared" si="2"/>
        <v>22.099999999999998</v>
      </c>
      <c r="N5" t="str">
        <f t="shared" si="1"/>
        <v>MAJOR MOVER</v>
      </c>
    </row>
    <row r="6" spans="1:14" x14ac:dyDescent="0.3">
      <c r="A6">
        <f>RAW_Stock_Events!A6</f>
        <v>5</v>
      </c>
      <c r="B6" s="1">
        <f>RAW_Stock_Events!B6</f>
        <v>44518</v>
      </c>
      <c r="C6" t="str">
        <f>RAW_Stock_Events!C6</f>
        <v>NKE Stock Peak ~$177</v>
      </c>
      <c r="D6" t="str">
        <f>RAW_Stock_Events!D6</f>
        <v>Market</v>
      </c>
      <c r="E6" t="str">
        <f>RAW_Stock_Events!E6</f>
        <v>Peak</v>
      </c>
      <c r="F6">
        <f>RAW_Stock_Events!F6</f>
        <v>177.5</v>
      </c>
      <c r="G6">
        <f>RAW_Stock_Events!G6</f>
        <v>155.30000000000001</v>
      </c>
      <c r="H6">
        <f>RAW_Stock_Events!H6</f>
        <v>134.19999999999999</v>
      </c>
      <c r="I6">
        <f>RAW_Stock_Events!I6</f>
        <v>-12.5</v>
      </c>
      <c r="J6">
        <f>RAW_Stock_Events!J6</f>
        <v>-24.4</v>
      </c>
      <c r="K6" t="str">
        <f>RAW_Stock_Events!K6</f>
        <v>N/A - Peak</v>
      </c>
      <c r="L6">
        <f t="shared" si="0"/>
        <v>0</v>
      </c>
      <c r="M6">
        <f t="shared" si="2"/>
        <v>9.5999999999999979</v>
      </c>
      <c r="N6" t="str">
        <f t="shared" si="1"/>
        <v>MAJOR MOVER</v>
      </c>
    </row>
    <row r="7" spans="1:14" x14ac:dyDescent="0.3">
      <c r="A7">
        <f>RAW_Stock_Events!A7</f>
        <v>6</v>
      </c>
      <c r="B7" s="1">
        <f>RAW_Stock_Events!B7</f>
        <v>44736</v>
      </c>
      <c r="C7" t="str">
        <f>RAW_Stock_Events!C7</f>
        <v>Inventory Crisis Disclosed in Earnings</v>
      </c>
      <c r="D7" t="str">
        <f>RAW_Stock_Events!D7</f>
        <v>Crisis</v>
      </c>
      <c r="E7" t="str">
        <f>RAW_Stock_Events!E7</f>
        <v>Warning</v>
      </c>
      <c r="F7">
        <f>RAW_Stock_Events!F7</f>
        <v>109.5</v>
      </c>
      <c r="G7">
        <f>RAW_Stock_Events!G7</f>
        <v>97.3</v>
      </c>
      <c r="H7">
        <f>RAW_Stock_Events!H7</f>
        <v>85.2</v>
      </c>
      <c r="I7">
        <f>RAW_Stock_Events!I7</f>
        <v>-11.1</v>
      </c>
      <c r="J7">
        <f>RAW_Stock_Events!J7</f>
        <v>-22.2</v>
      </c>
      <c r="K7" t="str">
        <f>RAW_Stock_Events!K7</f>
        <v>Negative</v>
      </c>
      <c r="L7">
        <f t="shared" si="0"/>
        <v>-1</v>
      </c>
      <c r="M7">
        <f t="shared" si="2"/>
        <v>-1.5000000000000018</v>
      </c>
      <c r="N7" t="str">
        <f t="shared" si="1"/>
        <v>MAJOR MOVER</v>
      </c>
    </row>
    <row r="8" spans="1:14" x14ac:dyDescent="0.3">
      <c r="A8">
        <f>RAW_Stock_Events!A8</f>
        <v>7</v>
      </c>
      <c r="B8" s="1">
        <f>RAW_Stock_Events!B8</f>
        <v>44911</v>
      </c>
      <c r="C8" t="str">
        <f>RAW_Stock_Events!C8</f>
        <v>Q2 FY2023 Earnings - Inventory Glut Confirmed</v>
      </c>
      <c r="D8" t="str">
        <f>RAW_Stock_Events!D8</f>
        <v>Crisis</v>
      </c>
      <c r="E8" t="str">
        <f>RAW_Stock_Events!E8</f>
        <v>Earnings</v>
      </c>
      <c r="F8">
        <f>RAW_Stock_Events!F8</f>
        <v>110.2</v>
      </c>
      <c r="G8">
        <f>RAW_Stock_Events!G8</f>
        <v>118.4</v>
      </c>
      <c r="H8">
        <f>RAW_Stock_Events!H8</f>
        <v>122.3</v>
      </c>
      <c r="I8">
        <f>RAW_Stock_Events!I8</f>
        <v>7.4</v>
      </c>
      <c r="J8">
        <f>RAW_Stock_Events!J8</f>
        <v>11</v>
      </c>
      <c r="K8" t="str">
        <f>RAW_Stock_Events!K8</f>
        <v>Mixed</v>
      </c>
      <c r="L8">
        <f t="shared" si="0"/>
        <v>0</v>
      </c>
      <c r="M8">
        <f t="shared" si="2"/>
        <v>5.8999999999999986</v>
      </c>
      <c r="N8" t="str">
        <f t="shared" si="1"/>
        <v>SIGNIFICANT</v>
      </c>
    </row>
    <row r="9" spans="1:14" x14ac:dyDescent="0.3">
      <c r="A9">
        <f>RAW_Stock_Events!A9</f>
        <v>8</v>
      </c>
      <c r="B9" s="1">
        <f>RAW_Stock_Events!B9</f>
        <v>45203</v>
      </c>
      <c r="C9" t="str">
        <f>RAW_Stock_Events!C9</f>
        <v>Foot Locker CEO Announces Renewed Nike Partnership</v>
      </c>
      <c r="D9" t="str">
        <f>RAW_Stock_Events!D9</f>
        <v>Recovery</v>
      </c>
      <c r="E9" t="str">
        <f>RAW_Stock_Events!E9</f>
        <v>Partnership</v>
      </c>
      <c r="F9">
        <f>RAW_Stock_Events!F9</f>
        <v>88.5</v>
      </c>
      <c r="G9">
        <f>RAW_Stock_Events!G9</f>
        <v>100.2</v>
      </c>
      <c r="H9">
        <f>RAW_Stock_Events!H9</f>
        <v>105.4</v>
      </c>
      <c r="I9">
        <f>RAW_Stock_Events!I9</f>
        <v>13.2</v>
      </c>
      <c r="J9">
        <f>RAW_Stock_Events!J9</f>
        <v>19.100000000000001</v>
      </c>
      <c r="K9" t="str">
        <f>RAW_Stock_Events!K9</f>
        <v>Positive</v>
      </c>
      <c r="L9">
        <f t="shared" si="0"/>
        <v>1</v>
      </c>
      <c r="M9">
        <f t="shared" si="2"/>
        <v>19.099999999999998</v>
      </c>
      <c r="N9" t="str">
        <f t="shared" si="1"/>
        <v>MAJOR MOVER</v>
      </c>
    </row>
    <row r="10" spans="1:14" x14ac:dyDescent="0.3">
      <c r="A10">
        <f>RAW_Stock_Events!A10</f>
        <v>9</v>
      </c>
      <c r="B10" s="1">
        <f>RAW_Stock_Events!B10</f>
        <v>45471</v>
      </c>
      <c r="C10" t="str">
        <f>RAW_Stock_Events!C10</f>
        <v>FY2024 Earnings - Revenue Growth Stalls</v>
      </c>
      <c r="D10" t="str">
        <f>RAW_Stock_Events!D10</f>
        <v>Crisis</v>
      </c>
      <c r="E10" t="str">
        <f>RAW_Stock_Events!E10</f>
        <v>Earnings</v>
      </c>
      <c r="F10">
        <f>RAW_Stock_Events!F10</f>
        <v>75.3</v>
      </c>
      <c r="G10">
        <f>RAW_Stock_Events!G10</f>
        <v>72.099999999999994</v>
      </c>
      <c r="H10">
        <f>RAW_Stock_Events!H10</f>
        <v>70.2</v>
      </c>
      <c r="I10">
        <f>RAW_Stock_Events!I10</f>
        <v>-4.3</v>
      </c>
      <c r="J10">
        <f>RAW_Stock_Events!J10</f>
        <v>-6.8</v>
      </c>
      <c r="K10" t="str">
        <f>RAW_Stock_Events!K10</f>
        <v>Negative</v>
      </c>
      <c r="L10">
        <f t="shared" si="0"/>
        <v>-1</v>
      </c>
      <c r="M10">
        <f t="shared" si="2"/>
        <v>14.799999999999997</v>
      </c>
      <c r="N10" t="str">
        <f t="shared" si="1"/>
        <v>MINOR</v>
      </c>
    </row>
    <row r="11" spans="1:14" x14ac:dyDescent="0.3">
      <c r="A11">
        <f>RAW_Stock_Events!A11</f>
        <v>10</v>
      </c>
      <c r="B11" s="1">
        <f>RAW_Stock_Events!B11</f>
        <v>45554</v>
      </c>
      <c r="C11" t="str">
        <f>RAW_Stock_Events!C11</f>
        <v>Donahoe Replaced by Elliott Hill as CEO</v>
      </c>
      <c r="D11" t="str">
        <f>RAW_Stock_Events!D11</f>
        <v>Leadership</v>
      </c>
      <c r="E11" t="str">
        <f>RAW_Stock_Events!E11</f>
        <v>Recovery</v>
      </c>
      <c r="F11">
        <f>RAW_Stock_Events!F11</f>
        <v>78.2</v>
      </c>
      <c r="G11">
        <f>RAW_Stock_Events!G11</f>
        <v>90.4</v>
      </c>
      <c r="H11">
        <f>RAW_Stock_Events!H11</f>
        <v>96.3</v>
      </c>
      <c r="I11">
        <f>RAW_Stock_Events!I11</f>
        <v>15.6</v>
      </c>
      <c r="J11">
        <f>RAW_Stock_Events!J11</f>
        <v>23.1</v>
      </c>
      <c r="K11" t="str">
        <f>RAW_Stock_Events!K11</f>
        <v>Positive</v>
      </c>
      <c r="L11">
        <f t="shared" si="0"/>
        <v>1</v>
      </c>
      <c r="M11">
        <f t="shared" si="2"/>
        <v>30.4</v>
      </c>
      <c r="N11" t="str">
        <f t="shared" si="1"/>
        <v>MAJOR MOVER</v>
      </c>
    </row>
    <row r="12" spans="1:14" x14ac:dyDescent="0.3">
      <c r="A12">
        <f>RAW_Stock_Events!A12</f>
        <v>11</v>
      </c>
      <c r="B12" s="1">
        <f>RAW_Stock_Events!B12</f>
        <v>45566</v>
      </c>
      <c r="C12" t="str">
        <f>RAW_Stock_Events!C12</f>
        <v>Elliott Management Takes Activist Stake</v>
      </c>
      <c r="D12" t="str">
        <f>RAW_Stock_Events!D12</f>
        <v>Investor</v>
      </c>
      <c r="E12" t="str">
        <f>RAW_Stock_Events!E12</f>
        <v>External</v>
      </c>
      <c r="F12">
        <f>RAW_Stock_Events!F12</f>
        <v>92.1</v>
      </c>
      <c r="G12">
        <f>RAW_Stock_Events!G12</f>
        <v>85.3</v>
      </c>
      <c r="H12">
        <f>RAW_Stock_Events!H12</f>
        <v>80.2</v>
      </c>
      <c r="I12">
        <f>RAW_Stock_Events!I12</f>
        <v>-7.4</v>
      </c>
      <c r="J12">
        <f>RAW_Stock_Events!J12</f>
        <v>-13</v>
      </c>
      <c r="K12" t="str">
        <f>RAW_Stock_Events!K12</f>
        <v>Negative</v>
      </c>
      <c r="L12">
        <f t="shared" si="0"/>
        <v>-1</v>
      </c>
      <c r="M12">
        <f t="shared" si="2"/>
        <v>23</v>
      </c>
      <c r="N12" t="str">
        <f t="shared" si="1"/>
        <v>SIGNIFICANT</v>
      </c>
    </row>
    <row r="14" spans="1:14" ht="36.6" x14ac:dyDescent="0.7">
      <c r="A14" s="16" t="s">
        <v>184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</row>
    <row r="15" spans="1:14" x14ac:dyDescent="0.3">
      <c r="A15" s="3" t="s">
        <v>168</v>
      </c>
      <c r="B15" t="s">
        <v>169</v>
      </c>
    </row>
    <row r="16" spans="1:14" x14ac:dyDescent="0.3">
      <c r="A16" s="3" t="s">
        <v>185</v>
      </c>
      <c r="B16" s="6">
        <f>COUNTIF(K2:K12,"Positive")</f>
        <v>5</v>
      </c>
    </row>
    <row r="17" spans="1:2" x14ac:dyDescent="0.3">
      <c r="A17" s="3" t="s">
        <v>186</v>
      </c>
      <c r="B17" s="6">
        <f>COUNTIF(K2:K12,"Negative")</f>
        <v>3</v>
      </c>
    </row>
    <row r="18" spans="1:2" x14ac:dyDescent="0.3">
      <c r="A18" s="3" t="s">
        <v>187</v>
      </c>
      <c r="B18" s="6">
        <f>ROUND(AVERAGE(I2:I12),2)</f>
        <v>2.09</v>
      </c>
    </row>
    <row r="19" spans="1:2" x14ac:dyDescent="0.3">
      <c r="A19" s="3" t="s">
        <v>188</v>
      </c>
      <c r="B19" s="6">
        <f>ROUND(AVERAGEIF(K2:K12,"Positive",I2:I12),2)</f>
        <v>10.86</v>
      </c>
    </row>
    <row r="20" spans="1:2" x14ac:dyDescent="0.3">
      <c r="A20" s="3" t="s">
        <v>189</v>
      </c>
      <c r="B20" s="6">
        <f>ROUND(AVERAGEIF(K2:K12,"Negative",I2:I12),2)</f>
        <v>-7.6</v>
      </c>
    </row>
    <row r="21" spans="1:2" x14ac:dyDescent="0.3">
      <c r="A21" s="3" t="s">
        <v>190</v>
      </c>
      <c r="B21" s="6">
        <f>ROUND(MIN(I2:I12),2)</f>
        <v>-12.5</v>
      </c>
    </row>
    <row r="22" spans="1:2" x14ac:dyDescent="0.3">
      <c r="A22" s="3" t="s">
        <v>191</v>
      </c>
      <c r="B22" s="6">
        <f>ROUND(MAX(I2:I12),2)</f>
        <v>15.6</v>
      </c>
    </row>
    <row r="23" spans="1:2" x14ac:dyDescent="0.3">
      <c r="A23" s="3" t="s">
        <v>192</v>
      </c>
      <c r="B23" s="6">
        <f>ROUND(SUM(I2:I12),2)</f>
        <v>23</v>
      </c>
    </row>
    <row r="24" spans="1:2" x14ac:dyDescent="0.3">
      <c r="A24" s="3" t="s">
        <v>193</v>
      </c>
      <c r="B24" s="6">
        <f>COUNTIF(N2:N12,"MAJOR MOVER")</f>
        <v>5</v>
      </c>
    </row>
  </sheetData>
  <mergeCells count="1">
    <mergeCell ref="A14:N14"/>
  </mergeCells>
  <conditionalFormatting sqref="I2:J12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A6F25-315D-414C-871C-C8A2B71D8A2C}">
  <sheetPr codeName="Sheet8"/>
  <dimension ref="A1:P21"/>
  <sheetViews>
    <sheetView topLeftCell="A4" workbookViewId="0">
      <selection activeCell="G21" sqref="G21"/>
    </sheetView>
  </sheetViews>
  <sheetFormatPr defaultRowHeight="14.4" x14ac:dyDescent="0.3"/>
  <cols>
    <col min="1" max="1" width="24.21875" customWidth="1"/>
    <col min="2" max="2" width="15.6640625" customWidth="1"/>
    <col min="3" max="3" width="14.5546875" customWidth="1"/>
    <col min="4" max="4" width="13.77734375" customWidth="1"/>
    <col min="6" max="6" width="57.109375" customWidth="1"/>
    <col min="7" max="7" width="16.77734375" customWidth="1"/>
    <col min="8" max="8" width="22.109375" customWidth="1"/>
  </cols>
  <sheetData>
    <row r="1" spans="1:16" ht="21" x14ac:dyDescent="0.4">
      <c r="A1" s="12" t="s">
        <v>194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x14ac:dyDescent="0.3">
      <c r="A2" s="13" t="s">
        <v>195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6" ht="6" customHeight="1" x14ac:dyDescent="0.3"/>
    <row r="4" spans="1:16" ht="14.4" customHeight="1" x14ac:dyDescent="0.3">
      <c r="B4" s="14" t="s">
        <v>196</v>
      </c>
      <c r="C4" s="14"/>
      <c r="D4" s="14"/>
      <c r="F4" s="14" t="s">
        <v>197</v>
      </c>
      <c r="G4" s="14"/>
      <c r="H4" s="14"/>
      <c r="J4" s="9" t="s">
        <v>198</v>
      </c>
      <c r="K4" s="9"/>
      <c r="L4" s="9"/>
      <c r="N4" s="9" t="s">
        <v>199</v>
      </c>
      <c r="O4" s="9"/>
      <c r="P4" s="9"/>
    </row>
    <row r="5" spans="1:16" x14ac:dyDescent="0.3">
      <c r="B5" s="14"/>
      <c r="C5" s="14"/>
      <c r="D5" s="14"/>
      <c r="F5" s="14"/>
      <c r="G5" s="14"/>
      <c r="H5" s="14"/>
      <c r="J5" s="9"/>
      <c r="K5" s="9"/>
      <c r="L5" s="9"/>
      <c r="N5" s="9"/>
      <c r="O5" s="9"/>
      <c r="P5" s="9"/>
    </row>
    <row r="6" spans="1:16" ht="25.2" customHeight="1" x14ac:dyDescent="0.3">
      <c r="B6" s="14"/>
      <c r="C6" s="14"/>
      <c r="D6" s="14"/>
      <c r="F6" s="14"/>
      <c r="G6" s="14"/>
      <c r="H6" s="14"/>
      <c r="J6" s="9"/>
      <c r="K6" s="9"/>
      <c r="L6" s="9"/>
      <c r="N6" s="9"/>
      <c r="O6" s="9"/>
      <c r="P6" s="9"/>
    </row>
    <row r="7" spans="1:16" ht="8.4" customHeight="1" x14ac:dyDescent="0.3"/>
    <row r="8" spans="1:16" x14ac:dyDescent="0.3">
      <c r="B8" s="9" t="s">
        <v>200</v>
      </c>
      <c r="C8" s="10"/>
      <c r="D8" s="10"/>
      <c r="F8" s="9" t="s">
        <v>201</v>
      </c>
      <c r="G8" s="11"/>
      <c r="H8" s="11"/>
      <c r="J8" s="9" t="s">
        <v>202</v>
      </c>
      <c r="K8" s="11"/>
      <c r="L8" s="11"/>
      <c r="N8" s="9" t="s">
        <v>203</v>
      </c>
      <c r="O8" s="11"/>
      <c r="P8" s="11"/>
    </row>
    <row r="9" spans="1:16" x14ac:dyDescent="0.3">
      <c r="B9" s="10"/>
      <c r="C9" s="10"/>
      <c r="D9" s="10"/>
      <c r="F9" s="11"/>
      <c r="G9" s="11"/>
      <c r="H9" s="11"/>
      <c r="J9" s="11"/>
      <c r="K9" s="11"/>
      <c r="L9" s="11"/>
      <c r="N9" s="11"/>
      <c r="O9" s="11"/>
      <c r="P9" s="11"/>
    </row>
    <row r="10" spans="1:16" ht="26.4" customHeight="1" x14ac:dyDescent="0.3">
      <c r="B10" s="10"/>
      <c r="C10" s="10"/>
      <c r="D10" s="10"/>
      <c r="F10" s="11"/>
      <c r="G10" s="11"/>
      <c r="H10" s="11"/>
      <c r="J10" s="11"/>
      <c r="K10" s="11"/>
      <c r="L10" s="11"/>
      <c r="N10" s="11"/>
      <c r="O10" s="11"/>
      <c r="P10" s="11"/>
    </row>
    <row r="13" spans="1:16" x14ac:dyDescent="0.3">
      <c r="A13" s="7" t="s">
        <v>204</v>
      </c>
      <c r="B13" s="7" t="s">
        <v>205</v>
      </c>
      <c r="C13" s="7" t="s">
        <v>206</v>
      </c>
      <c r="D13" s="7" t="s">
        <v>207</v>
      </c>
      <c r="E13" s="7" t="s">
        <v>208</v>
      </c>
      <c r="F13" s="7" t="s">
        <v>209</v>
      </c>
    </row>
    <row r="14" spans="1:16" x14ac:dyDescent="0.3">
      <c r="A14" t="s">
        <v>210</v>
      </c>
      <c r="B14" s="8">
        <v>0.44579999999999997</v>
      </c>
      <c r="C14" t="str">
        <f>INDEX(tbl_Financial[Gross_Margin_Pct],MATCH(2024,tbl_Financial[Fiscal_Year],0))&amp;"%"</f>
        <v>44.56%</v>
      </c>
      <c r="D14" t="s">
        <v>211</v>
      </c>
      <c r="E14" t="s">
        <v>212</v>
      </c>
      <c r="F14" t="s">
        <v>213</v>
      </c>
    </row>
    <row r="15" spans="1:16" x14ac:dyDescent="0.3">
      <c r="A15" t="s">
        <v>214</v>
      </c>
      <c r="B15" s="8">
        <v>0.13830000000000001</v>
      </c>
      <c r="C15" t="str">
        <f>INDEX(tbl_Financial[Operating_Margin_Pct],MATCH(2024,tbl_Financial[Fiscal_Year],0))&amp;"%"</f>
        <v>12.29%</v>
      </c>
      <c r="D15" t="s">
        <v>211</v>
      </c>
      <c r="E15" t="s">
        <v>215</v>
      </c>
      <c r="F15" t="s">
        <v>216</v>
      </c>
    </row>
    <row r="16" spans="1:16" x14ac:dyDescent="0.3">
      <c r="A16" t="s">
        <v>217</v>
      </c>
      <c r="B16" s="8">
        <v>0.32400000000000001</v>
      </c>
      <c r="C16" t="str">
        <f>INDEX(tbl_Channel[Nike_Direct_Share_Pct],MATCH(2024,tbl_Channel[Fiscal_Year],0))&amp;"%"</f>
        <v>43.6%</v>
      </c>
      <c r="D16" t="s">
        <v>218</v>
      </c>
      <c r="E16" t="s">
        <v>219</v>
      </c>
      <c r="F16" t="s">
        <v>220</v>
      </c>
    </row>
    <row r="17" spans="1:6" x14ac:dyDescent="0.3">
      <c r="A17" t="s">
        <v>221</v>
      </c>
      <c r="B17">
        <v>22990</v>
      </c>
      <c r="C17">
        <f>INDEX(tbl_Channel[Wholesale_Revenue_M],MATCH(2024,tbl_Channel[Fiscal_Year],0))</f>
        <v>27758</v>
      </c>
      <c r="D17" t="s">
        <v>218</v>
      </c>
      <c r="E17" t="s">
        <v>212</v>
      </c>
      <c r="F17" t="s">
        <v>222</v>
      </c>
    </row>
    <row r="18" spans="1:6" x14ac:dyDescent="0.3">
      <c r="A18" t="s">
        <v>223</v>
      </c>
      <c r="B18" s="8">
        <v>0.3075</v>
      </c>
      <c r="C18" t="str">
        <f>INDEX(tbl_Financial[SGA_Pct_Revenue],MATCH(2024,tbl_Financial[Fiscal_Year],0))&amp;"%"</f>
        <v>32.27%</v>
      </c>
      <c r="D18" t="s">
        <v>218</v>
      </c>
      <c r="E18" t="s">
        <v>215</v>
      </c>
      <c r="F18" t="s">
        <v>224</v>
      </c>
    </row>
    <row r="19" spans="1:6" x14ac:dyDescent="0.3">
      <c r="A19" t="s">
        <v>225</v>
      </c>
      <c r="B19" s="8">
        <v>0.38200000000000001</v>
      </c>
      <c r="C19" s="8">
        <v>0.30199999999999999</v>
      </c>
      <c r="D19" t="s">
        <v>211</v>
      </c>
      <c r="E19" t="s">
        <v>215</v>
      </c>
      <c r="F19" t="s">
        <v>226</v>
      </c>
    </row>
    <row r="20" spans="1:6" x14ac:dyDescent="0.3">
      <c r="A20" t="s">
        <v>227</v>
      </c>
      <c r="B20">
        <v>2200</v>
      </c>
      <c r="C20">
        <v>12100</v>
      </c>
      <c r="D20" t="s">
        <v>218</v>
      </c>
      <c r="E20" t="s">
        <v>219</v>
      </c>
      <c r="F20" t="s">
        <v>228</v>
      </c>
    </row>
    <row r="21" spans="1:6" x14ac:dyDescent="0.3">
      <c r="A21" t="s">
        <v>229</v>
      </c>
      <c r="B21" t="s">
        <v>230</v>
      </c>
      <c r="C21" t="s">
        <v>230</v>
      </c>
      <c r="D21" t="s">
        <v>231</v>
      </c>
      <c r="E21" t="s">
        <v>219</v>
      </c>
      <c r="F21" t="s">
        <v>232</v>
      </c>
    </row>
  </sheetData>
  <mergeCells count="10">
    <mergeCell ref="B8:D10"/>
    <mergeCell ref="F8:H10"/>
    <mergeCell ref="J8:L10"/>
    <mergeCell ref="N8:P10"/>
    <mergeCell ref="A1:P1"/>
    <mergeCell ref="A2:P2"/>
    <mergeCell ref="B4:D6"/>
    <mergeCell ref="F4:H6"/>
    <mergeCell ref="J4:L6"/>
    <mergeCell ref="N4:P6"/>
  </mergeCells>
  <conditionalFormatting sqref="E14:E21">
    <cfRule type="containsText" dxfId="2" priority="1" operator="containsText" text="GREEN">
      <formula>NOT(ISERROR(SEARCH("GREEN",E14)))</formula>
    </cfRule>
    <cfRule type="containsText" dxfId="1" priority="2" operator="containsText" text="AMBER">
      <formula>NOT(ISERROR(SEARCH("AMBER",E14)))</formula>
    </cfRule>
    <cfRule type="containsText" dxfId="0" priority="3" operator="containsText" text="RED">
      <formula>NOT(ISERROR(SEARCH("RED",E14)))</formula>
    </cfRule>
  </conditionalFormatting>
  <pageMargins left="0.25" right="0.25" top="0.75" bottom="0.75" header="0.3" footer="0.3"/>
  <pageSetup paperSize="9" orientation="landscape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FBD444C1-64F5-4AA6-BF37-85B72F9A6E0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CALC_ChannelModel!I2:I11</xm:f>
              <xm:sqref>G14</xm:sqref>
            </x14:sparkline>
          </x14:sparklines>
        </x14:sparklineGroup>
        <x14:sparklineGroup displayEmptyCellsAs="gap" xr2:uid="{998B9781-2373-43EB-B6C0-182F06F7045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CALC_ChannelModel!J2:J11</xm:f>
              <xm:sqref>G15</xm:sqref>
            </x14:sparkline>
          </x14:sparklines>
        </x14:sparklineGroup>
        <x14:sparklineGroup displayEmptyCellsAs="gap" xr2:uid="{7D3CADBC-B056-48AD-93E1-716BB18DB09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CALC_ChannelModel!C2:C11</xm:f>
              <xm:sqref>G16</xm:sqref>
            </x14:sparkline>
          </x14:sparklines>
        </x14:sparklineGroup>
        <x14:sparklineGroup displayEmptyCellsAs="gap" xr2:uid="{17304EFF-A944-4B0F-A113-E7075C4D235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CALC_ChannelModel!D2:D11</xm:f>
              <xm:sqref>G17</xm:sqref>
            </x14:sparkline>
          </x14:sparklines>
        </x14:sparklineGroup>
        <x14:sparklineGroup displayEmptyCellsAs="gap" xr2:uid="{9A279DA0-42EA-4ED3-830C-EA7B4678656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CALC_ChannelModel!K2:K11</xm:f>
              <xm:sqref>G18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RAW_Financial</vt:lpstr>
      <vt:lpstr>RAW_Channel</vt:lpstr>
      <vt:lpstr>RAW_ProductMarket</vt:lpstr>
      <vt:lpstr>RAW_Stock_Events</vt:lpstr>
      <vt:lpstr>CALC_ChannelModel</vt:lpstr>
      <vt:lpstr>CALC_CustomerCLV</vt:lpstr>
      <vt:lpstr>CALC_MarketReaction</vt:lpstr>
      <vt:lpstr>DASHBOARD_Summary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kushagra kumar</dc:creator>
  <cp:lastModifiedBy>kushagra kumar</cp:lastModifiedBy>
  <dcterms:created xsi:type="dcterms:W3CDTF">2015-06-05T18:17:20Z</dcterms:created>
  <dcterms:modified xsi:type="dcterms:W3CDTF">2026-09-25T19:08:12Z</dcterms:modified>
</cp:coreProperties>
</file>